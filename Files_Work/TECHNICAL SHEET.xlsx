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JOGENDRA\PROJECT COSTING\"/>
    </mc:Choice>
  </mc:AlternateContent>
  <bookViews>
    <workbookView xWindow="0" yWindow="0" windowWidth="20490" windowHeight="7455"/>
  </bookViews>
  <sheets>
    <sheet name="LOCAL DISHES" sheetId="1" r:id="rId1"/>
    <sheet name="CONTINENTAL DISHES" sheetId="2" r:id="rId2"/>
  </sheets>
  <definedNames>
    <definedName name="_xlnm._FilterDatabase" localSheetId="0" hidden="1">'LOCAL DISHES'!$B$5:$F$252</definedName>
    <definedName name="_xlnm.Print_Area" localSheetId="1">'CONTINENTAL DISHES'!$A$1:$F$465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16" i="1" s="1"/>
  <c r="F7" i="1"/>
  <c r="E19" i="1" l="1"/>
  <c r="E20" i="1"/>
  <c r="E21" i="1"/>
  <c r="E22" i="1"/>
  <c r="E23" i="1"/>
  <c r="E24" i="1"/>
  <c r="E25" i="1"/>
  <c r="E26" i="1"/>
  <c r="E27" i="1"/>
  <c r="E28" i="1"/>
  <c r="E29" i="1"/>
  <c r="E8" i="1"/>
  <c r="E9" i="1"/>
  <c r="E10" i="1"/>
  <c r="E11" i="1"/>
  <c r="E12" i="1"/>
  <c r="E13" i="1"/>
  <c r="E24" i="2"/>
  <c r="E25" i="2"/>
  <c r="E26" i="2"/>
  <c r="E27" i="2"/>
  <c r="E28" i="2"/>
  <c r="E29" i="2"/>
  <c r="E30" i="2"/>
  <c r="E31" i="2"/>
  <c r="E32" i="2"/>
  <c r="E33" i="2"/>
  <c r="E34" i="2"/>
  <c r="E35" i="2"/>
  <c r="E40" i="2"/>
  <c r="E41" i="2"/>
  <c r="E42" i="2"/>
  <c r="E43" i="2"/>
  <c r="E44" i="2"/>
  <c r="E45" i="2"/>
  <c r="E46" i="2"/>
  <c r="E47" i="2"/>
  <c r="E49" i="2"/>
  <c r="E50" i="2"/>
  <c r="E56" i="2"/>
  <c r="E57" i="2"/>
  <c r="E58" i="2"/>
  <c r="E59" i="2"/>
  <c r="E61" i="2"/>
  <c r="E62" i="2"/>
  <c r="E63" i="2"/>
  <c r="E64" i="2"/>
  <c r="E65" i="2"/>
  <c r="E70" i="2"/>
  <c r="E71" i="2"/>
  <c r="E72" i="2"/>
  <c r="E73" i="2"/>
  <c r="E74" i="2"/>
  <c r="E75" i="2"/>
  <c r="E76" i="2"/>
  <c r="E77" i="2"/>
  <c r="E79" i="2"/>
  <c r="E84" i="2"/>
  <c r="E85" i="2"/>
  <c r="E86" i="2"/>
  <c r="E87" i="2"/>
  <c r="E88" i="2"/>
  <c r="E89" i="2"/>
  <c r="E90" i="2"/>
  <c r="E91" i="2"/>
  <c r="E92" i="2"/>
  <c r="E93" i="2"/>
  <c r="E94" i="2"/>
  <c r="E95" i="2"/>
  <c r="E100" i="2"/>
  <c r="E102" i="2"/>
  <c r="E103" i="2"/>
  <c r="E104" i="2"/>
  <c r="E105" i="2"/>
  <c r="E106" i="2"/>
  <c r="E107" i="2"/>
  <c r="E108" i="2"/>
  <c r="E113" i="2"/>
  <c r="E114" i="2"/>
  <c r="E115" i="2"/>
  <c r="E116" i="2"/>
  <c r="E119" i="2"/>
  <c r="E120" i="2"/>
  <c r="E122" i="2"/>
  <c r="E123" i="2"/>
  <c r="E124" i="2"/>
  <c r="E125" i="2"/>
  <c r="E126" i="2"/>
  <c r="E127" i="2"/>
  <c r="E128" i="2"/>
  <c r="E129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52" i="2"/>
  <c r="E153" i="2"/>
  <c r="E154" i="2"/>
  <c r="E156" i="2"/>
  <c r="E157" i="2"/>
  <c r="E158" i="2"/>
  <c r="E159" i="2"/>
  <c r="E161" i="2"/>
  <c r="E162" i="2"/>
  <c r="E163" i="2"/>
  <c r="E164" i="2"/>
  <c r="E168" i="2"/>
  <c r="E170" i="2"/>
  <c r="E171" i="2"/>
  <c r="E172" i="2"/>
  <c r="E173" i="2"/>
  <c r="E175" i="2"/>
  <c r="E177" i="2"/>
  <c r="E178" i="2"/>
  <c r="E179" i="2"/>
  <c r="E184" i="2"/>
  <c r="E185" i="2"/>
  <c r="E186" i="2"/>
  <c r="E188" i="2"/>
  <c r="E189" i="2"/>
  <c r="E190" i="2"/>
  <c r="E191" i="2"/>
  <c r="E192" i="2"/>
  <c r="E194" i="2"/>
  <c r="E199" i="2"/>
  <c r="E200" i="2"/>
  <c r="E201" i="2"/>
  <c r="E202" i="2"/>
  <c r="E204" i="2"/>
  <c r="E205" i="2"/>
  <c r="E206" i="2"/>
  <c r="E207" i="2"/>
  <c r="E208" i="2"/>
  <c r="E209" i="2"/>
  <c r="E210" i="2"/>
  <c r="E215" i="2"/>
  <c r="E216" i="2"/>
  <c r="E217" i="2"/>
  <c r="E218" i="2"/>
  <c r="E219" i="2"/>
  <c r="E220" i="2"/>
  <c r="E221" i="2"/>
  <c r="E226" i="2"/>
  <c r="E227" i="2"/>
  <c r="E228" i="2"/>
  <c r="E229" i="2"/>
  <c r="E230" i="2"/>
  <c r="E231" i="2"/>
  <c r="E232" i="2"/>
  <c r="E233" i="2"/>
  <c r="E234" i="2"/>
  <c r="E242" i="2"/>
  <c r="E243" i="2"/>
  <c r="E244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70" i="2"/>
  <c r="E271" i="2"/>
  <c r="E272" i="2"/>
  <c r="E273" i="2"/>
  <c r="E274" i="2"/>
  <c r="E276" i="2"/>
  <c r="E277" i="2"/>
  <c r="E278" i="2"/>
  <c r="E279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300" i="2"/>
  <c r="E301" i="2"/>
  <c r="E302" i="2"/>
  <c r="E303" i="2"/>
  <c r="E304" i="2"/>
  <c r="E305" i="2"/>
  <c r="E306" i="2"/>
  <c r="E307" i="2"/>
  <c r="E308" i="2"/>
  <c r="E309" i="2"/>
  <c r="E314" i="2"/>
  <c r="E315" i="2"/>
  <c r="E316" i="2"/>
  <c r="E318" i="2"/>
  <c r="E319" i="2"/>
  <c r="E320" i="2"/>
  <c r="E321" i="2"/>
  <c r="E322" i="2"/>
  <c r="E323" i="2"/>
  <c r="E324" i="2"/>
  <c r="E325" i="2"/>
  <c r="E326" i="2"/>
  <c r="E327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8" i="2"/>
  <c r="E349" i="2"/>
  <c r="E350" i="2"/>
  <c r="E351" i="2"/>
  <c r="E352" i="2"/>
  <c r="E353" i="2"/>
  <c r="E354" i="2"/>
  <c r="E355" i="2"/>
  <c r="E356" i="2"/>
  <c r="E357" i="2"/>
  <c r="E358" i="2"/>
  <c r="E360" i="2"/>
  <c r="E362" i="2"/>
  <c r="E363" i="2"/>
  <c r="E364" i="2"/>
  <c r="E365" i="2"/>
  <c r="E369" i="2"/>
  <c r="E370" i="2"/>
  <c r="E371" i="2"/>
  <c r="E373" i="2"/>
  <c r="E375" i="2"/>
  <c r="E376" i="2"/>
  <c r="E377" i="2"/>
  <c r="E378" i="2"/>
  <c r="E379" i="2"/>
  <c r="E380" i="2"/>
  <c r="E381" i="2"/>
  <c r="E382" i="2"/>
  <c r="E383" i="2"/>
  <c r="E384" i="2"/>
  <c r="E389" i="2"/>
  <c r="E390" i="2"/>
  <c r="E391" i="2"/>
  <c r="E392" i="2"/>
  <c r="E393" i="2"/>
  <c r="E395" i="2"/>
  <c r="E396" i="2"/>
  <c r="E399" i="2"/>
  <c r="E400" i="2"/>
  <c r="E401" i="2"/>
  <c r="E402" i="2"/>
  <c r="E408" i="2"/>
  <c r="E409" i="2"/>
  <c r="E410" i="2"/>
  <c r="E411" i="2"/>
  <c r="E413" i="2"/>
  <c r="E414" i="2"/>
  <c r="E415" i="2"/>
  <c r="E416" i="2"/>
  <c r="E417" i="2"/>
  <c r="E418" i="2"/>
  <c r="E419" i="2"/>
  <c r="E420" i="2"/>
  <c r="E425" i="2"/>
  <c r="E426" i="2"/>
  <c r="E427" i="2"/>
  <c r="E428" i="2"/>
  <c r="E430" i="2"/>
  <c r="E431" i="2"/>
  <c r="E432" i="2"/>
  <c r="E433" i="2"/>
  <c r="E434" i="2"/>
  <c r="E435" i="2"/>
  <c r="E436" i="2"/>
  <c r="E437" i="2"/>
  <c r="E438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8" i="2"/>
  <c r="E459" i="2"/>
  <c r="E460" i="2"/>
  <c r="E461" i="2"/>
  <c r="E462" i="2"/>
  <c r="E463" i="2"/>
  <c r="E464" i="2"/>
  <c r="E465" i="2"/>
  <c r="E8" i="2"/>
  <c r="E9" i="2"/>
  <c r="E10" i="2"/>
  <c r="E11" i="2"/>
  <c r="E13" i="2"/>
  <c r="E14" i="2"/>
  <c r="E15" i="2"/>
  <c r="E16" i="2"/>
  <c r="E17" i="2"/>
  <c r="E18" i="2"/>
  <c r="E19" i="2"/>
  <c r="E168" i="1"/>
  <c r="E156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50" i="1"/>
  <c r="E151" i="1"/>
  <c r="E152" i="1"/>
  <c r="E153" i="1"/>
  <c r="E154" i="1"/>
  <c r="E155" i="1"/>
  <c r="E157" i="1"/>
  <c r="E158" i="1"/>
  <c r="E159" i="1"/>
  <c r="E160" i="1"/>
  <c r="E161" i="1"/>
  <c r="E162" i="1"/>
  <c r="E167" i="1"/>
  <c r="E169" i="1"/>
  <c r="E170" i="1"/>
  <c r="E171" i="1"/>
  <c r="E172" i="1"/>
  <c r="E173" i="1"/>
  <c r="E174" i="1"/>
  <c r="E175" i="1"/>
  <c r="E176" i="1"/>
  <c r="E177" i="1"/>
  <c r="E178" i="1"/>
  <c r="E179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11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96" i="1"/>
  <c r="E83" i="1"/>
  <c r="E84" i="1"/>
  <c r="E85" i="1"/>
  <c r="E86" i="1"/>
  <c r="E87" i="1"/>
  <c r="E88" i="1"/>
  <c r="E89" i="1"/>
  <c r="E90" i="1"/>
  <c r="E91" i="1"/>
  <c r="E82" i="1"/>
  <c r="E70" i="1"/>
  <c r="E69" i="1"/>
  <c r="E66" i="1"/>
  <c r="E67" i="1"/>
  <c r="E68" i="1"/>
  <c r="E71" i="1"/>
  <c r="E72" i="1"/>
  <c r="E73" i="1"/>
  <c r="E74" i="1"/>
  <c r="E75" i="1"/>
  <c r="E76" i="1"/>
  <c r="E77" i="1"/>
  <c r="E78" i="1"/>
  <c r="E65" i="1"/>
  <c r="E51" i="1"/>
  <c r="E52" i="1"/>
  <c r="E53" i="1"/>
  <c r="E54" i="1"/>
  <c r="E55" i="1"/>
  <c r="E56" i="1"/>
  <c r="E57" i="1"/>
  <c r="E58" i="1"/>
  <c r="E59" i="1"/>
  <c r="E60" i="1"/>
  <c r="E61" i="1"/>
  <c r="E50" i="1"/>
  <c r="E46" i="1"/>
  <c r="E45" i="1"/>
  <c r="E35" i="1"/>
  <c r="E36" i="1"/>
  <c r="E37" i="1"/>
  <c r="E38" i="1"/>
  <c r="E39" i="1"/>
  <c r="E40" i="1"/>
  <c r="E41" i="1"/>
  <c r="E42" i="1"/>
  <c r="E43" i="1"/>
  <c r="E44" i="1"/>
  <c r="E34" i="1"/>
</calcChain>
</file>

<file path=xl/sharedStrings.xml><?xml version="1.0" encoding="utf-8"?>
<sst xmlns="http://schemas.openxmlformats.org/spreadsheetml/2006/main" count="741" uniqueCount="285">
  <si>
    <t xml:space="preserve">GA KENKEY  WITH TILAPIA </t>
  </si>
  <si>
    <t>GRILLED TILAPIA OR FRIED FISH OR SARDINE AND EGG</t>
  </si>
  <si>
    <t xml:space="preserve">KPAKPOSHITO GREEN </t>
  </si>
  <si>
    <t>SALT</t>
  </si>
  <si>
    <t>COOKING OIL WHEN  FRIED FISH</t>
  </si>
  <si>
    <t>PORTION FOR 1</t>
  </si>
  <si>
    <t>PORTION FOR 10</t>
  </si>
  <si>
    <t>GA KENKEY(FROM 300 TO 400 G)</t>
  </si>
  <si>
    <t>RICE BALL WITH GROUND NUT OR PALM NUT SOUP WITH GOAT/BEEF</t>
  </si>
  <si>
    <t xml:space="preserve">GOAT OR BEEF </t>
  </si>
  <si>
    <t>ONION</t>
  </si>
  <si>
    <t>FRESH TOMATO</t>
  </si>
  <si>
    <t>MAGGI</t>
  </si>
  <si>
    <t>TOMATO PASTE(FOR THE GROUNDNUT PASTE)</t>
  </si>
  <si>
    <t>KPAKPO SHITO</t>
  </si>
  <si>
    <t xml:space="preserve">RED RED  WITH FISH OR BEEF </t>
  </si>
  <si>
    <t xml:space="preserve">BLACK EYE BEAN </t>
  </si>
  <si>
    <t>PALM OIL</t>
  </si>
  <si>
    <t xml:space="preserve">GARLIC </t>
  </si>
  <si>
    <t>FRESH GINGER</t>
  </si>
  <si>
    <t xml:space="preserve">RIPED PLANTAIN </t>
  </si>
  <si>
    <t>MAGGI SALT</t>
  </si>
  <si>
    <t xml:space="preserve">COOKING OIL </t>
  </si>
  <si>
    <t>FRESH FISH</t>
  </si>
  <si>
    <t>FLOUR FOR COTTING</t>
  </si>
  <si>
    <t>KPAKPOSITO</t>
  </si>
  <si>
    <t xml:space="preserve">KOKONTE  WITH GROUNDNUT SOUP WITH GOAT/BEEF </t>
  </si>
  <si>
    <t>KOKONTE FLOUR</t>
  </si>
  <si>
    <t xml:space="preserve">PALMNUT  OR </t>
  </si>
  <si>
    <t xml:space="preserve"> GROUNDNUT PASTE</t>
  </si>
  <si>
    <t>AMPESI WITH PALAVA SAUCE WITH FISH</t>
  </si>
  <si>
    <t xml:space="preserve">YAM </t>
  </si>
  <si>
    <t>APEM</t>
  </si>
  <si>
    <t>KONTOMIRE LEAVES</t>
  </si>
  <si>
    <t>MOMONI</t>
  </si>
  <si>
    <t xml:space="preserve">SALTED FISH(MOMONI) </t>
  </si>
  <si>
    <t>KPAKPOSHITO GREEN</t>
  </si>
  <si>
    <t xml:space="preserve">ONION </t>
  </si>
  <si>
    <t xml:space="preserve">TUO  ZAAFI WITH BEEF </t>
  </si>
  <si>
    <t>TUO ZAAFI FLOUR</t>
  </si>
  <si>
    <t>PALMNUT OIL</t>
  </si>
  <si>
    <t>TOMATO PASTE</t>
  </si>
  <si>
    <t>AYOYO LEAVES</t>
  </si>
  <si>
    <t xml:space="preserve">BEEF BONE IN </t>
  </si>
  <si>
    <t>DAWADAWA</t>
  </si>
  <si>
    <t>JOLLOF RICE WITH KELEWELE GRILLED CHICKEN OR FISH OR BEEF</t>
  </si>
  <si>
    <t>RICE</t>
  </si>
  <si>
    <t>KPAKPO SHITO  GREEN</t>
  </si>
  <si>
    <t>RIPED PLANTAIN</t>
  </si>
  <si>
    <t>LOCAL SPICES</t>
  </si>
  <si>
    <t xml:space="preserve">FRESH CHICKEN </t>
  </si>
  <si>
    <t xml:space="preserve">FISH </t>
  </si>
  <si>
    <t>BONES IN BEEF</t>
  </si>
  <si>
    <t>COOKING OIL</t>
  </si>
  <si>
    <t>GARDEN PEAS RICE WIH GRILLED CHICKEN OR FISH</t>
  </si>
  <si>
    <t>GARDEN PEAS</t>
  </si>
  <si>
    <t>FRESH CHICKEN OR FISH</t>
  </si>
  <si>
    <t xml:space="preserve">MAGGI </t>
  </si>
  <si>
    <t>GREEN PEPPER</t>
  </si>
  <si>
    <t>PLAIN RICE  WITH VEGETABLE STEW WITH CHICKEN</t>
  </si>
  <si>
    <t xml:space="preserve">RICE </t>
  </si>
  <si>
    <t xml:space="preserve">TOMATO PASTE </t>
  </si>
  <si>
    <t xml:space="preserve">KPAKPO SHITO GREEN </t>
  </si>
  <si>
    <t>CARROT</t>
  </si>
  <si>
    <t xml:space="preserve">GREEN PEPPER </t>
  </si>
  <si>
    <t xml:space="preserve"> WHITE CABBAGE</t>
  </si>
  <si>
    <t>GARLIC</t>
  </si>
  <si>
    <t xml:space="preserve"> FRESH GINGER</t>
  </si>
  <si>
    <t>BRAISED RICE WITH BEEF STEW</t>
  </si>
  <si>
    <t xml:space="preserve">TOLO BEEF </t>
  </si>
  <si>
    <t>TOLO BEEF</t>
  </si>
  <si>
    <t>KPAKPO SHITO GREEN</t>
  </si>
  <si>
    <t>FRIED RICE WITH BEEF STIR FRIED</t>
  </si>
  <si>
    <t>SOY SAUCE</t>
  </si>
  <si>
    <t>SPRING ONION</t>
  </si>
  <si>
    <t>CORN FLOUR</t>
  </si>
  <si>
    <t>ARONI RICE WITH HOT GRAVY WITH CHICIKEN OR FISH</t>
  </si>
  <si>
    <t>SPAGHETTI</t>
  </si>
  <si>
    <t>CHICKEN OR FISH</t>
  </si>
  <si>
    <t>FUFU WITH GOAT OR HARD CHICKEN OR BEEF LIGHT SOUP</t>
  </si>
  <si>
    <t>CASSAVA</t>
  </si>
  <si>
    <t>PLANTAIN</t>
  </si>
  <si>
    <t>GOAT/HARD CHICKEN/BEEF BONE IN</t>
  </si>
  <si>
    <t>KPAKPOSHITO RED OR GREEN</t>
  </si>
  <si>
    <t>OKRO</t>
  </si>
  <si>
    <t>GARDEN EGG</t>
  </si>
  <si>
    <t>GINGER</t>
  </si>
  <si>
    <t>BANKU WITH FISH/BEEF OKRO STEW</t>
  </si>
  <si>
    <t>CASSAVA DOUGH</t>
  </si>
  <si>
    <t>CORN DOUGH</t>
  </si>
  <si>
    <t>BEEF/FISH</t>
  </si>
  <si>
    <t>DRY HERRINGS</t>
  </si>
  <si>
    <t>WAAKYE WITH FISH/BEEF BONE IN WITH ACCOMPANIMENT</t>
  </si>
  <si>
    <t>BLACK EYE BEANS</t>
  </si>
  <si>
    <t>FISH /BEEF BONE IN</t>
  </si>
  <si>
    <t>GARI</t>
  </si>
  <si>
    <t>SHRIMP POWDER</t>
  </si>
  <si>
    <t>FISH POWDER</t>
  </si>
  <si>
    <t>POWDERED PEPPER</t>
  </si>
  <si>
    <t xml:space="preserve">SALT </t>
  </si>
  <si>
    <t>BEEF WRAP WITH FRENCH FRIES</t>
  </si>
  <si>
    <t>WRAP</t>
  </si>
  <si>
    <t>SHREDDED BEEF</t>
  </si>
  <si>
    <t>POTATO CHIPS</t>
  </si>
  <si>
    <t>KETCHUP</t>
  </si>
  <si>
    <t>CUCUMBER</t>
  </si>
  <si>
    <t>LETTUCE</t>
  </si>
  <si>
    <t>KFC CHICKEN WITH FRNCH FRIES</t>
  </si>
  <si>
    <t>CHICKEN LEG SOFT OR CHICKEN WING SOFT</t>
  </si>
  <si>
    <t>BREAD CRAMPS</t>
  </si>
  <si>
    <t>FLOUR</t>
  </si>
  <si>
    <t>EGG</t>
  </si>
  <si>
    <t>COMPLETE SEASONNING</t>
  </si>
  <si>
    <t>CAJUN SEASONNING</t>
  </si>
  <si>
    <t>MAYONNAISE</t>
  </si>
  <si>
    <t>GRILLED TURKEY WINGS WITH SPICY POTATO</t>
  </si>
  <si>
    <t>TURKEY WING</t>
  </si>
  <si>
    <t>MUSTARD DIJON</t>
  </si>
  <si>
    <t>IRISH POTATO</t>
  </si>
  <si>
    <t>CAJUN SPICIES</t>
  </si>
  <si>
    <t>BLACK PEPPER</t>
  </si>
  <si>
    <t>CAYENNE PEPPER</t>
  </si>
  <si>
    <t>PAPRIKA PEPPER</t>
  </si>
  <si>
    <t>BLANQUETTE OF LAMB WITH BOILED POTATO</t>
  </si>
  <si>
    <t xml:space="preserve"> LAMB MEAT</t>
  </si>
  <si>
    <t xml:space="preserve">MUSHROOM </t>
  </si>
  <si>
    <t>LIQUID MILK</t>
  </si>
  <si>
    <t>BUTTER</t>
  </si>
  <si>
    <t>BEEF POT ROAST WITH  MASHED POTATO</t>
  </si>
  <si>
    <t>BEEF CHUCK OR BRISKET OR SIRLOIN</t>
  </si>
  <si>
    <t>CELERY</t>
  </si>
  <si>
    <t>RED WINE</t>
  </si>
  <si>
    <t>THYME</t>
  </si>
  <si>
    <t>THYME, PARSLEY</t>
  </si>
  <si>
    <t>MEAT BALL FIORENTINA WITH SPAGHETTI</t>
  </si>
  <si>
    <t>MINCED MEAT</t>
  </si>
  <si>
    <t>HAM</t>
  </si>
  <si>
    <t>PARMESAN CHEESE</t>
  </si>
  <si>
    <t>BREAD CRUMBS</t>
  </si>
  <si>
    <t>PARSLEY</t>
  </si>
  <si>
    <t>ROSEMARY</t>
  </si>
  <si>
    <t>FRESH PARSLEY</t>
  </si>
  <si>
    <t>FRESH ROSEMARY</t>
  </si>
  <si>
    <t>WHITE WINE</t>
  </si>
  <si>
    <t>DIJON MUSTARD</t>
  </si>
  <si>
    <t>BBQ PORK CHOPS WITH STEAMED RICE</t>
  </si>
  <si>
    <t>PORK CHOPS</t>
  </si>
  <si>
    <t>BBQ SAUCE</t>
  </si>
  <si>
    <t>COOKING OIL OR OLIVE OIL</t>
  </si>
  <si>
    <t>SEAFOOD CHOW-MEIN WITH BOILED RICE</t>
  </si>
  <si>
    <t>FROZEN SEAFOOD</t>
  </si>
  <si>
    <t>WHITE PEPPER</t>
  </si>
  <si>
    <t>OYSTER SAUCE</t>
  </si>
  <si>
    <t>LIGHT SOY SAUCE</t>
  </si>
  <si>
    <t>SHAOXING WINE</t>
  </si>
  <si>
    <t>DARK SOY SAUCE</t>
  </si>
  <si>
    <t>SUGAR</t>
  </si>
  <si>
    <t>BEAN SPROUTS</t>
  </si>
  <si>
    <t>HONEY GLAZED PORK CHOPS WITH CURRY FRIED RICE</t>
  </si>
  <si>
    <t>HONEY</t>
  </si>
  <si>
    <t>RICE VINEGAR</t>
  </si>
  <si>
    <t>GARLIC CLOVES</t>
  </si>
  <si>
    <t>VEGETABLES OIL</t>
  </si>
  <si>
    <t>UNSOLTED  BUTTER</t>
  </si>
  <si>
    <t>CURRY POWDER</t>
  </si>
  <si>
    <t>FISH PROVENCAL WITH BRAISED RICE</t>
  </si>
  <si>
    <t>FISH(COD, TILAPIA, GROUPER)</t>
  </si>
  <si>
    <t>OLIVE OIL</t>
  </si>
  <si>
    <t>OREGANO</t>
  </si>
  <si>
    <t>BASIL</t>
  </si>
  <si>
    <t>LEMON</t>
  </si>
  <si>
    <t>WINE</t>
  </si>
  <si>
    <t>CAPERS</t>
  </si>
  <si>
    <t>BLACK OLIVES</t>
  </si>
  <si>
    <t>CHICKEN LEG SOFT</t>
  </si>
  <si>
    <t>VEGETABLE OIL</t>
  </si>
  <si>
    <t>UNSOLTED BUTTER</t>
  </si>
  <si>
    <t>COOKING CREAM</t>
  </si>
  <si>
    <t>BABY POTATOES</t>
  </si>
  <si>
    <t>BUTTOM MUSHROOM</t>
  </si>
  <si>
    <t>CHICKEN BROTH</t>
  </si>
  <si>
    <t>BEEF FILET(CHUCK, RIB EYE, SIVERSIDE, TOPE SIDE</t>
  </si>
  <si>
    <t>WORCESTERSHIRE SAUCE</t>
  </si>
  <si>
    <t>BAY LEAVES</t>
  </si>
  <si>
    <t>BRAISED STEAK WITH MASHED POTATO</t>
  </si>
  <si>
    <t>UNSALTED BUTTER</t>
  </si>
  <si>
    <t>CHICKEN STIR FRIED WITH BOILED POTATTOS</t>
  </si>
  <si>
    <t>CHICKEN BREAST</t>
  </si>
  <si>
    <t>PORK CHOPS CAMPVALLON WITH SAUTEED POTATO</t>
  </si>
  <si>
    <t xml:space="preserve">PORK CHOPS </t>
  </si>
  <si>
    <t>IRISH OTATO</t>
  </si>
  <si>
    <t>CALAMARE WITH POTATO WEDGES</t>
  </si>
  <si>
    <t xml:space="preserve">SQUID </t>
  </si>
  <si>
    <t xml:space="preserve">BREAD CRUMPS </t>
  </si>
  <si>
    <t>COMPLETE SEASONING</t>
  </si>
  <si>
    <t>PAPRIKA</t>
  </si>
  <si>
    <t>SALT &amp; PEPPEGG</t>
  </si>
  <si>
    <t>UNSALTED BUITTER</t>
  </si>
  <si>
    <t xml:space="preserve"> CLASSIC CHILLI FRANCFURTERS WITH  FRENCH FRIES</t>
  </si>
  <si>
    <t>LEMON GRILLED GROUPER WITH POTATO WEDGES</t>
  </si>
  <si>
    <t>GROUPER FISH FILET</t>
  </si>
  <si>
    <t>CAJUN SPICES</t>
  </si>
  <si>
    <t>CHICKEN SCHNITZEL WITH FRENCH FRIES</t>
  </si>
  <si>
    <t>BEEF FRANCFURTERS</t>
  </si>
  <si>
    <t>RED ONION</t>
  </si>
  <si>
    <t>BELL PEPPER</t>
  </si>
  <si>
    <t>FRESH RED CHILI PEPPER</t>
  </si>
  <si>
    <t>CHOPPED FRESH TOMATO</t>
  </si>
  <si>
    <t>RED KIDNEY BEANS</t>
  </si>
  <si>
    <t>SWEET CORN</t>
  </si>
  <si>
    <t>CUMIN</t>
  </si>
  <si>
    <t>CORIANDER</t>
  </si>
  <si>
    <t>GARLIC POWDER</t>
  </si>
  <si>
    <t>DRIED CHILIES</t>
  </si>
  <si>
    <t>COFFEE</t>
  </si>
  <si>
    <t>SOUR CREAM</t>
  </si>
  <si>
    <t>SALT AND PEPPER</t>
  </si>
  <si>
    <t>4PCS</t>
  </si>
  <si>
    <t>125ml</t>
  </si>
  <si>
    <t>20ml</t>
  </si>
  <si>
    <t>BREAD CRUMPS</t>
  </si>
  <si>
    <t>BEEF  STRONGANOFF WITH BOILED POTATO</t>
  </si>
  <si>
    <t>BEEF FILET</t>
  </si>
  <si>
    <t>MUSHROOM</t>
  </si>
  <si>
    <t>VIENNA STEAK WITH BUTTERED MACARONI</t>
  </si>
  <si>
    <t>BEEF RIB EYE</t>
  </si>
  <si>
    <t>MACARONI</t>
  </si>
  <si>
    <t>CHICKEN KIEV WITH LYONNAISE POTATO</t>
  </si>
  <si>
    <t xml:space="preserve">CHICKEN BREAST </t>
  </si>
  <si>
    <t xml:space="preserve">FLOUR </t>
  </si>
  <si>
    <t>COTTAGE PIE WITH HOMEMADE POTATO</t>
  </si>
  <si>
    <t>GREEN PEAS</t>
  </si>
  <si>
    <t>LIQUIDE MILK</t>
  </si>
  <si>
    <t>SHREDDED CHEDDAR</t>
  </si>
  <si>
    <t>CHICKEN ENCHILLADAS WITH ANNA POTATO</t>
  </si>
  <si>
    <t>BEANS</t>
  </si>
  <si>
    <t>SHEDDAR CHEESES</t>
  </si>
  <si>
    <t>CHICKEN CACCIATORE WITH ROSEMARY POTATO</t>
  </si>
  <si>
    <t>BLACK OLIVE</t>
  </si>
  <si>
    <t>WHITE VINEGAR</t>
  </si>
  <si>
    <t>BEEF CURRY WITH ONION RICE</t>
  </si>
  <si>
    <t>CHICKEN CURRY WITH STEAMED RICE</t>
  </si>
  <si>
    <t>CHILLI CONCARNE WITH BRAISED RICE</t>
  </si>
  <si>
    <t>RED PEPPER</t>
  </si>
  <si>
    <t>HOT CHILLI POWDER</t>
  </si>
  <si>
    <t>GROUND CUMIN</t>
  </si>
  <si>
    <t>GROUPER FILET</t>
  </si>
  <si>
    <t>1PCS</t>
  </si>
  <si>
    <t>1pcs</t>
  </si>
  <si>
    <t>100ml</t>
  </si>
  <si>
    <t>200ml</t>
  </si>
  <si>
    <t>CELERI</t>
  </si>
  <si>
    <t>125ML</t>
  </si>
  <si>
    <t>50ML</t>
  </si>
  <si>
    <t>75ml</t>
  </si>
  <si>
    <t>15ml</t>
  </si>
  <si>
    <t>50ml</t>
  </si>
  <si>
    <t>CHICKEN CASSEROLE WITH BRAISED RICE</t>
  </si>
  <si>
    <t>100ML</t>
  </si>
  <si>
    <t>10ml</t>
  </si>
  <si>
    <t>5ml</t>
  </si>
  <si>
    <t>30ml</t>
  </si>
  <si>
    <t>TORTILLAS  BREAD</t>
  </si>
  <si>
    <t>FRIED GROUPER WITH STEAMED RICE</t>
  </si>
  <si>
    <t>FRESH TOMATOES</t>
  </si>
  <si>
    <t>PALMNUT  OR  GROUNDNUT PASTE</t>
  </si>
  <si>
    <t>AGUSHI GROUND</t>
  </si>
  <si>
    <t>TOAMOTO PASTE</t>
  </si>
  <si>
    <t>1L</t>
  </si>
  <si>
    <t>2L</t>
  </si>
  <si>
    <t>BEEF BONES IN</t>
  </si>
  <si>
    <t>10pcs</t>
  </si>
  <si>
    <t>1.25L</t>
  </si>
  <si>
    <t>0.5L</t>
  </si>
  <si>
    <t>0.2L</t>
  </si>
  <si>
    <t>0.3L</t>
  </si>
  <si>
    <t>1l</t>
  </si>
  <si>
    <t>0.05L</t>
  </si>
  <si>
    <t>40pcs</t>
  </si>
  <si>
    <t>0.15L</t>
  </si>
  <si>
    <t>0.75L</t>
  </si>
  <si>
    <t>0.125L</t>
  </si>
  <si>
    <t>20pcs</t>
  </si>
  <si>
    <t>2pcs</t>
  </si>
  <si>
    <t>Price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</si>
</sst>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\ \ &quot;Gm&quot;"/>
    <numFmt numFmtId="165" formatCode="0.00\ \ &quot;gr&quot;"/>
    <numFmt numFmtId="166" formatCode="0.00\ \ &quot;kg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wrapText="1"/>
    </xf>
    <xf numFmtId="165" fontId="2" fillId="0" borderId="1" xfId="0" applyNumberFormat="1" applyFont="1" applyBorder="1" applyAlignment="1">
      <alignment wrapText="1"/>
    </xf>
    <xf numFmtId="165" fontId="1" fillId="0" borderId="1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wrapText="1"/>
    </xf>
    <xf numFmtId="165" fontId="1" fillId="0" borderId="0" xfId="0" applyNumberFormat="1" applyFont="1"/>
    <xf numFmtId="166" fontId="1" fillId="0" borderId="1" xfId="0" applyNumberFormat="1" applyFon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/>
    <xf numFmtId="166" fontId="1" fillId="0" borderId="3" xfId="0" applyNumberFormat="1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166" fontId="5" fillId="0" borderId="0" xfId="0" applyNumberFormat="1" applyFont="1" applyAlignment="1">
      <alignment horizontal="center" wrapText="1"/>
    </xf>
    <xf numFmtId="0" fontId="4" fillId="0" borderId="0" xfId="0" applyFont="1"/>
    <xf numFmtId="0" fontId="4" fillId="0" borderId="1" xfId="0" applyFont="1" applyBorder="1" applyAlignment="1">
      <alignment wrapText="1"/>
    </xf>
    <xf numFmtId="165" fontId="4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166" fontId="6" fillId="0" borderId="4" xfId="0" applyNumberFormat="1" applyFont="1" applyBorder="1" applyAlignment="1">
      <alignment horizontal="center"/>
    </xf>
    <xf numFmtId="166" fontId="6" fillId="0" borderId="0" xfId="0" applyNumberFormat="1" applyFont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166" fontId="6" fillId="0" borderId="3" xfId="0" applyNumberFormat="1" applyFont="1" applyBorder="1" applyAlignment="1">
      <alignment horizontal="center"/>
    </xf>
    <xf numFmtId="0" fontId="4" fillId="0" borderId="0" xfId="0" applyFont="1" applyBorder="1"/>
    <xf numFmtId="166" fontId="6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165" fontId="1" fillId="0" borderId="2" xfId="0" applyNumberFormat="1" applyFont="1" applyBorder="1"/>
    <xf numFmtId="166" fontId="1" fillId="0" borderId="2" xfId="0" applyNumberFormat="1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252"/>
  <sheetViews>
    <sheetView tabSelected="1" topLeftCell="A5" zoomScaleNormal="100" zoomScaleSheetLayoutView="85" workbookViewId="0">
      <selection activeCell="F19" sqref="F19"/>
    </sheetView>
  </sheetViews>
  <sheetFormatPr defaultRowHeight="15" x14ac:dyDescent="0.25"/>
  <cols>
    <col min="1" max="1" width="9.140625" style="2"/>
    <col min="2" max="2" width="47.7109375" style="1" customWidth="1"/>
    <col min="3" max="3" width="10.5703125" style="11" bestFit="1" customWidth="1"/>
    <col min="4" max="4" width="15.85546875" style="17" customWidth="1"/>
    <col min="5" max="5" width="16.85546875" style="6" customWidth="1"/>
  </cols>
  <sheetData>
    <row r="5" spans="1:6" ht="18.75" x14ac:dyDescent="0.3">
      <c r="A5" s="40"/>
      <c r="B5" s="8" t="s">
        <v>0</v>
      </c>
      <c r="C5" s="10"/>
      <c r="D5" s="13" t="s">
        <v>5</v>
      </c>
      <c r="E5" s="9" t="s">
        <v>6</v>
      </c>
      <c r="F5" s="9" t="s">
        <v>284</v>
      </c>
    </row>
    <row r="6" spans="1:6" x14ac:dyDescent="0.25">
      <c r="A6" s="40"/>
      <c r="B6" s="7"/>
      <c r="C6" s="10"/>
      <c r="D6" s="41"/>
      <c r="E6" s="42"/>
    </row>
    <row r="7" spans="1:6" ht="19.5" customHeight="1" x14ac:dyDescent="0.25">
      <c r="A7" s="40">
        <v>1</v>
      </c>
      <c r="B7" s="7" t="s">
        <v>7</v>
      </c>
      <c r="C7" s="10"/>
      <c r="D7" s="14" t="s">
        <v>283</v>
      </c>
      <c r="E7" s="18" t="s">
        <v>282</v>
      </c>
      <c r="F7" s="43">
        <f>20*5</f>
        <v>100</v>
      </c>
    </row>
    <row r="8" spans="1:6" ht="25.5" customHeight="1" x14ac:dyDescent="0.25">
      <c r="A8" s="40">
        <v>2</v>
      </c>
      <c r="B8" s="7" t="s">
        <v>1</v>
      </c>
      <c r="C8" s="10"/>
      <c r="D8" s="14">
        <v>300</v>
      </c>
      <c r="E8" s="18">
        <f t="shared" ref="E8:E29" si="0">(D8*10)/1000</f>
        <v>3</v>
      </c>
      <c r="F8" s="43">
        <v>150</v>
      </c>
    </row>
    <row r="9" spans="1:6" x14ac:dyDescent="0.25">
      <c r="A9" s="40">
        <v>3</v>
      </c>
      <c r="B9" s="7" t="s">
        <v>264</v>
      </c>
      <c r="C9" s="10"/>
      <c r="D9" s="14">
        <v>100</v>
      </c>
      <c r="E9" s="18">
        <f t="shared" si="0"/>
        <v>1</v>
      </c>
      <c r="F9" s="43">
        <v>25</v>
      </c>
    </row>
    <row r="10" spans="1:6" x14ac:dyDescent="0.25">
      <c r="A10" s="40">
        <v>4</v>
      </c>
      <c r="B10" s="7" t="s">
        <v>37</v>
      </c>
      <c r="C10" s="10"/>
      <c r="D10" s="14">
        <v>150</v>
      </c>
      <c r="E10" s="18">
        <f t="shared" si="0"/>
        <v>1.5</v>
      </c>
      <c r="F10" s="43">
        <v>25</v>
      </c>
    </row>
    <row r="11" spans="1:6" x14ac:dyDescent="0.25">
      <c r="A11" s="40">
        <v>5</v>
      </c>
      <c r="B11" s="7" t="s">
        <v>58</v>
      </c>
      <c r="C11" s="10"/>
      <c r="D11" s="14">
        <v>50</v>
      </c>
      <c r="E11" s="18">
        <f t="shared" si="0"/>
        <v>0.5</v>
      </c>
      <c r="F11" s="43">
        <v>30</v>
      </c>
    </row>
    <row r="12" spans="1:6" x14ac:dyDescent="0.25">
      <c r="A12" s="40">
        <v>6</v>
      </c>
      <c r="B12" s="7" t="s">
        <v>2</v>
      </c>
      <c r="C12" s="10"/>
      <c r="D12" s="14">
        <v>50</v>
      </c>
      <c r="E12" s="18">
        <f t="shared" si="0"/>
        <v>0.5</v>
      </c>
      <c r="F12" s="43">
        <v>30</v>
      </c>
    </row>
    <row r="13" spans="1:6" x14ac:dyDescent="0.25">
      <c r="A13" s="40">
        <v>7</v>
      </c>
      <c r="B13" s="7" t="s">
        <v>3</v>
      </c>
      <c r="C13" s="10"/>
      <c r="D13" s="14">
        <v>10</v>
      </c>
      <c r="E13" s="18">
        <f t="shared" si="0"/>
        <v>0.1</v>
      </c>
      <c r="F13" s="43">
        <v>3</v>
      </c>
    </row>
    <row r="14" spans="1:6" x14ac:dyDescent="0.25">
      <c r="A14" s="40">
        <v>8</v>
      </c>
      <c r="B14" s="7" t="s">
        <v>4</v>
      </c>
      <c r="C14" s="10"/>
      <c r="D14" s="14" t="s">
        <v>258</v>
      </c>
      <c r="E14" s="18" t="s">
        <v>268</v>
      </c>
      <c r="F14" s="43">
        <v>25</v>
      </c>
    </row>
    <row r="15" spans="1:6" x14ac:dyDescent="0.25">
      <c r="D15" s="15"/>
      <c r="E15" s="22"/>
      <c r="F15" s="2">
        <f>SUM(F7:F14)</f>
        <v>388</v>
      </c>
    </row>
    <row r="16" spans="1:6" x14ac:dyDescent="0.25">
      <c r="D16" s="15"/>
      <c r="E16" s="22"/>
      <c r="F16" s="2">
        <f>+F15/10</f>
        <v>38.799999999999997</v>
      </c>
    </row>
    <row r="17" spans="1:6" ht="37.5" x14ac:dyDescent="0.3">
      <c r="B17" s="4" t="s">
        <v>8</v>
      </c>
      <c r="C17" s="12"/>
      <c r="D17" s="16" t="s">
        <v>5</v>
      </c>
      <c r="E17" s="22"/>
      <c r="F17" s="2"/>
    </row>
    <row r="18" spans="1:6" x14ac:dyDescent="0.25">
      <c r="D18" s="15"/>
      <c r="E18" s="23"/>
      <c r="F18" s="2"/>
    </row>
    <row r="19" spans="1:6" x14ac:dyDescent="0.25">
      <c r="A19" s="40">
        <v>1</v>
      </c>
      <c r="B19" s="7" t="s">
        <v>46</v>
      </c>
      <c r="C19" s="10"/>
      <c r="D19" s="14">
        <v>250</v>
      </c>
      <c r="E19" s="21">
        <f t="shared" si="0"/>
        <v>2.5</v>
      </c>
      <c r="F19" s="2">
        <v>37.5</v>
      </c>
    </row>
    <row r="20" spans="1:6" x14ac:dyDescent="0.25">
      <c r="A20" s="40">
        <v>2</v>
      </c>
      <c r="B20" s="7" t="s">
        <v>9</v>
      </c>
      <c r="C20" s="10"/>
      <c r="D20" s="14">
        <v>300</v>
      </c>
      <c r="E20" s="18">
        <f t="shared" si="0"/>
        <v>3</v>
      </c>
      <c r="F20" s="2"/>
    </row>
    <row r="21" spans="1:6" x14ac:dyDescent="0.25">
      <c r="A21" s="40">
        <v>3</v>
      </c>
      <c r="B21" s="7" t="s">
        <v>265</v>
      </c>
      <c r="C21" s="10"/>
      <c r="D21" s="14">
        <v>500</v>
      </c>
      <c r="E21" s="18">
        <f t="shared" si="0"/>
        <v>5</v>
      </c>
      <c r="F21" s="2"/>
    </row>
    <row r="22" spans="1:6" x14ac:dyDescent="0.25">
      <c r="A22" s="40">
        <v>5</v>
      </c>
      <c r="B22" s="7" t="s">
        <v>10</v>
      </c>
      <c r="C22" s="10"/>
      <c r="D22" s="14">
        <v>150</v>
      </c>
      <c r="E22" s="18">
        <f t="shared" si="0"/>
        <v>1.5</v>
      </c>
      <c r="F22" s="2"/>
    </row>
    <row r="23" spans="1:6" x14ac:dyDescent="0.25">
      <c r="A23" s="40">
        <v>6</v>
      </c>
      <c r="B23" s="7" t="s">
        <v>13</v>
      </c>
      <c r="C23" s="10"/>
      <c r="D23" s="14">
        <v>50</v>
      </c>
      <c r="E23" s="18">
        <f t="shared" si="0"/>
        <v>0.5</v>
      </c>
      <c r="F23" s="2"/>
    </row>
    <row r="24" spans="1:6" x14ac:dyDescent="0.25">
      <c r="A24" s="40">
        <v>7</v>
      </c>
      <c r="B24" s="7" t="s">
        <v>11</v>
      </c>
      <c r="C24" s="10"/>
      <c r="D24" s="14">
        <v>100</v>
      </c>
      <c r="E24" s="18">
        <f t="shared" si="0"/>
        <v>1</v>
      </c>
      <c r="F24" s="2"/>
    </row>
    <row r="25" spans="1:6" x14ac:dyDescent="0.25">
      <c r="A25" s="40">
        <v>8</v>
      </c>
      <c r="B25" s="7" t="s">
        <v>12</v>
      </c>
      <c r="C25" s="10"/>
      <c r="D25" s="14">
        <v>10</v>
      </c>
      <c r="E25" s="18">
        <f t="shared" si="0"/>
        <v>0.1</v>
      </c>
      <c r="F25" s="2"/>
    </row>
    <row r="26" spans="1:6" x14ac:dyDescent="0.25">
      <c r="A26" s="40">
        <v>9</v>
      </c>
      <c r="B26" s="7" t="s">
        <v>14</v>
      </c>
      <c r="C26" s="10"/>
      <c r="D26" s="14">
        <v>50</v>
      </c>
      <c r="E26" s="18">
        <f t="shared" si="0"/>
        <v>0.5</v>
      </c>
      <c r="F26" s="2"/>
    </row>
    <row r="27" spans="1:6" x14ac:dyDescent="0.25">
      <c r="A27" s="40">
        <v>10</v>
      </c>
      <c r="B27" s="7" t="s">
        <v>3</v>
      </c>
      <c r="C27" s="10"/>
      <c r="D27" s="14">
        <v>10</v>
      </c>
      <c r="E27" s="18">
        <f t="shared" si="0"/>
        <v>0.1</v>
      </c>
      <c r="F27" s="2"/>
    </row>
    <row r="28" spans="1:6" x14ac:dyDescent="0.25">
      <c r="A28" s="40">
        <v>11</v>
      </c>
      <c r="B28" s="7" t="s">
        <v>18</v>
      </c>
      <c r="C28" s="10"/>
      <c r="D28" s="14">
        <v>15</v>
      </c>
      <c r="E28" s="18">
        <f t="shared" si="0"/>
        <v>0.15</v>
      </c>
      <c r="F28" s="2"/>
    </row>
    <row r="29" spans="1:6" x14ac:dyDescent="0.25">
      <c r="A29" s="40">
        <v>12</v>
      </c>
      <c r="B29" s="7" t="s">
        <v>19</v>
      </c>
      <c r="C29" s="10"/>
      <c r="D29" s="14">
        <v>15</v>
      </c>
      <c r="E29" s="18">
        <f t="shared" si="0"/>
        <v>0.15</v>
      </c>
      <c r="F29" s="2"/>
    </row>
    <row r="30" spans="1:6" x14ac:dyDescent="0.25">
      <c r="D30" s="15"/>
      <c r="E30" s="19"/>
      <c r="F30" s="2"/>
    </row>
    <row r="31" spans="1:6" x14ac:dyDescent="0.25">
      <c r="D31" s="15"/>
      <c r="E31" s="5"/>
      <c r="F31" s="2"/>
    </row>
    <row r="32" spans="1:6" ht="18.75" x14ac:dyDescent="0.3">
      <c r="B32" s="4" t="s">
        <v>15</v>
      </c>
      <c r="D32" s="16" t="s">
        <v>5</v>
      </c>
      <c r="E32" s="3" t="s">
        <v>6</v>
      </c>
      <c r="F32" s="2"/>
    </row>
    <row r="33" spans="1:6" ht="18.75" x14ac:dyDescent="0.3">
      <c r="B33" s="4"/>
      <c r="D33" s="15"/>
      <c r="E33" s="5"/>
      <c r="F33" s="2"/>
    </row>
    <row r="34" spans="1:6" x14ac:dyDescent="0.25">
      <c r="A34" s="40">
        <v>1</v>
      </c>
      <c r="B34" s="7" t="s">
        <v>16</v>
      </c>
      <c r="C34" s="10"/>
      <c r="D34" s="14">
        <v>200</v>
      </c>
      <c r="E34" s="18">
        <f>(D34*10)/1000</f>
        <v>2</v>
      </c>
      <c r="F34" s="2"/>
    </row>
    <row r="35" spans="1:6" x14ac:dyDescent="0.25">
      <c r="A35" s="40">
        <v>2</v>
      </c>
      <c r="B35" s="7" t="s">
        <v>17</v>
      </c>
      <c r="C35" s="10"/>
      <c r="D35" s="14">
        <v>100</v>
      </c>
      <c r="E35" s="18">
        <f t="shared" ref="E35:E44" si="1">(D35*10)/1000</f>
        <v>1</v>
      </c>
      <c r="F35" s="2"/>
    </row>
    <row r="36" spans="1:6" x14ac:dyDescent="0.25">
      <c r="A36" s="40">
        <v>3</v>
      </c>
      <c r="B36" s="7" t="s">
        <v>10</v>
      </c>
      <c r="C36" s="10"/>
      <c r="D36" s="14">
        <v>150</v>
      </c>
      <c r="E36" s="18">
        <f t="shared" si="1"/>
        <v>1.5</v>
      </c>
      <c r="F36" s="2"/>
    </row>
    <row r="37" spans="1:6" x14ac:dyDescent="0.25">
      <c r="A37" s="40">
        <v>5</v>
      </c>
      <c r="B37" s="7" t="s">
        <v>23</v>
      </c>
      <c r="C37" s="10"/>
      <c r="D37" s="14">
        <v>300</v>
      </c>
      <c r="E37" s="18">
        <f t="shared" si="1"/>
        <v>3</v>
      </c>
      <c r="F37" s="2"/>
    </row>
    <row r="38" spans="1:6" x14ac:dyDescent="0.25">
      <c r="A38" s="40">
        <v>6</v>
      </c>
      <c r="B38" s="7" t="s">
        <v>20</v>
      </c>
      <c r="C38" s="10"/>
      <c r="D38" s="14">
        <v>200</v>
      </c>
      <c r="E38" s="18">
        <f t="shared" si="1"/>
        <v>2</v>
      </c>
      <c r="F38" s="2"/>
    </row>
    <row r="39" spans="1:6" x14ac:dyDescent="0.25">
      <c r="A39" s="40">
        <v>7</v>
      </c>
      <c r="B39" s="7" t="s">
        <v>18</v>
      </c>
      <c r="C39" s="10"/>
      <c r="D39" s="14">
        <v>15</v>
      </c>
      <c r="E39" s="18">
        <f t="shared" si="1"/>
        <v>0.15</v>
      </c>
      <c r="F39" s="2"/>
    </row>
    <row r="40" spans="1:6" x14ac:dyDescent="0.25">
      <c r="A40" s="40">
        <v>8</v>
      </c>
      <c r="B40" s="7" t="s">
        <v>19</v>
      </c>
      <c r="C40" s="10"/>
      <c r="D40" s="14">
        <v>30</v>
      </c>
      <c r="E40" s="18">
        <f t="shared" si="1"/>
        <v>0.3</v>
      </c>
      <c r="F40" s="2"/>
    </row>
    <row r="41" spans="1:6" x14ac:dyDescent="0.25">
      <c r="A41" s="40">
        <v>9</v>
      </c>
      <c r="B41" s="7" t="s">
        <v>11</v>
      </c>
      <c r="C41" s="10"/>
      <c r="D41" s="14">
        <v>200</v>
      </c>
      <c r="E41" s="18">
        <f t="shared" si="1"/>
        <v>2</v>
      </c>
      <c r="F41" s="2"/>
    </row>
    <row r="42" spans="1:6" x14ac:dyDescent="0.25">
      <c r="A42" s="40">
        <v>10</v>
      </c>
      <c r="B42" s="7" t="s">
        <v>57</v>
      </c>
      <c r="C42" s="10"/>
      <c r="D42" s="14">
        <v>10</v>
      </c>
      <c r="E42" s="18">
        <f t="shared" si="1"/>
        <v>0.1</v>
      </c>
      <c r="F42" s="2"/>
    </row>
    <row r="43" spans="1:6" x14ac:dyDescent="0.25">
      <c r="A43" s="40">
        <v>11</v>
      </c>
      <c r="B43" s="7" t="s">
        <v>22</v>
      </c>
      <c r="C43" s="10"/>
      <c r="D43" s="14">
        <v>100</v>
      </c>
      <c r="E43" s="18">
        <f t="shared" si="1"/>
        <v>1</v>
      </c>
      <c r="F43" s="2"/>
    </row>
    <row r="44" spans="1:6" x14ac:dyDescent="0.25">
      <c r="A44" s="40">
        <v>12</v>
      </c>
      <c r="B44" s="7" t="s">
        <v>24</v>
      </c>
      <c r="C44" s="10"/>
      <c r="D44" s="14">
        <v>100</v>
      </c>
      <c r="E44" s="18">
        <f t="shared" si="1"/>
        <v>1</v>
      </c>
      <c r="F44" s="2"/>
    </row>
    <row r="45" spans="1:6" x14ac:dyDescent="0.25">
      <c r="A45" s="40">
        <v>13</v>
      </c>
      <c r="B45" s="7" t="s">
        <v>25</v>
      </c>
      <c r="C45" s="10"/>
      <c r="D45" s="14">
        <v>50</v>
      </c>
      <c r="E45" s="18">
        <f>(D45*10)/1000</f>
        <v>0.5</v>
      </c>
      <c r="F45" s="2"/>
    </row>
    <row r="46" spans="1:6" x14ac:dyDescent="0.25">
      <c r="A46" s="40">
        <v>14</v>
      </c>
      <c r="B46" s="7" t="s">
        <v>3</v>
      </c>
      <c r="C46" s="10"/>
      <c r="D46" s="14">
        <v>10</v>
      </c>
      <c r="E46" s="18">
        <f>(D46*10)/1000</f>
        <v>0.1</v>
      </c>
      <c r="F46" s="2"/>
    </row>
    <row r="47" spans="1:6" x14ac:dyDescent="0.25">
      <c r="D47" s="15"/>
      <c r="E47" s="5"/>
      <c r="F47" s="2"/>
    </row>
    <row r="48" spans="1:6" ht="37.5" x14ac:dyDescent="0.3">
      <c r="B48" s="4" t="s">
        <v>26</v>
      </c>
      <c r="D48" s="16" t="s">
        <v>5</v>
      </c>
      <c r="E48" s="3" t="s">
        <v>6</v>
      </c>
      <c r="F48" s="2"/>
    </row>
    <row r="49" spans="1:10" x14ac:dyDescent="0.25">
      <c r="D49" s="15"/>
      <c r="E49" s="5"/>
      <c r="F49" s="2"/>
    </row>
    <row r="50" spans="1:10" x14ac:dyDescent="0.25">
      <c r="A50" s="40">
        <v>1</v>
      </c>
      <c r="B50" s="7" t="s">
        <v>27</v>
      </c>
      <c r="C50" s="10"/>
      <c r="D50" s="14">
        <v>300</v>
      </c>
      <c r="E50" s="18">
        <f>(D50*10)/1000</f>
        <v>3</v>
      </c>
      <c r="F50" s="2"/>
    </row>
    <row r="51" spans="1:10" x14ac:dyDescent="0.25">
      <c r="A51" s="40">
        <v>2</v>
      </c>
      <c r="B51" s="7" t="s">
        <v>9</v>
      </c>
      <c r="C51" s="10"/>
      <c r="D51" s="14">
        <v>300</v>
      </c>
      <c r="E51" s="18">
        <f t="shared" ref="E51:E61" si="2">(D51*10)/1000</f>
        <v>3</v>
      </c>
      <c r="F51" s="2"/>
    </row>
    <row r="52" spans="1:10" x14ac:dyDescent="0.25">
      <c r="A52" s="40">
        <v>3</v>
      </c>
      <c r="B52" s="7" t="s">
        <v>28</v>
      </c>
      <c r="C52" s="10"/>
      <c r="D52" s="14">
        <v>250</v>
      </c>
      <c r="E52" s="18">
        <f t="shared" si="2"/>
        <v>2.5</v>
      </c>
      <c r="F52" s="2"/>
    </row>
    <row r="53" spans="1:10" x14ac:dyDescent="0.25">
      <c r="A53" s="40">
        <v>5</v>
      </c>
      <c r="B53" s="7" t="s">
        <v>29</v>
      </c>
      <c r="C53" s="10"/>
      <c r="D53" s="14">
        <v>250</v>
      </c>
      <c r="E53" s="18">
        <f t="shared" si="2"/>
        <v>2.5</v>
      </c>
      <c r="F53" s="2"/>
    </row>
    <row r="54" spans="1:10" x14ac:dyDescent="0.25">
      <c r="A54" s="40">
        <v>6</v>
      </c>
      <c r="B54" s="7" t="s">
        <v>10</v>
      </c>
      <c r="C54" s="10"/>
      <c r="D54" s="14">
        <v>150</v>
      </c>
      <c r="E54" s="18">
        <f t="shared" si="2"/>
        <v>1.5</v>
      </c>
      <c r="F54" s="2"/>
    </row>
    <row r="55" spans="1:10" x14ac:dyDescent="0.25">
      <c r="A55" s="40">
        <v>7</v>
      </c>
      <c r="B55" s="7" t="s">
        <v>13</v>
      </c>
      <c r="C55" s="10"/>
      <c r="D55" s="14">
        <v>50</v>
      </c>
      <c r="E55" s="18">
        <f t="shared" si="2"/>
        <v>0.5</v>
      </c>
      <c r="F55" s="2"/>
    </row>
    <row r="56" spans="1:10" x14ac:dyDescent="0.25">
      <c r="A56" s="40">
        <v>8</v>
      </c>
      <c r="B56" s="7" t="s">
        <v>11</v>
      </c>
      <c r="C56" s="10"/>
      <c r="D56" s="14">
        <v>200</v>
      </c>
      <c r="E56" s="18">
        <f t="shared" si="2"/>
        <v>2</v>
      </c>
      <c r="F56" s="2"/>
    </row>
    <row r="57" spans="1:10" x14ac:dyDescent="0.25">
      <c r="A57" s="40">
        <v>9</v>
      </c>
      <c r="B57" s="7" t="s">
        <v>12</v>
      </c>
      <c r="C57" s="10"/>
      <c r="D57" s="14">
        <v>10</v>
      </c>
      <c r="E57" s="18">
        <f t="shared" si="2"/>
        <v>0.1</v>
      </c>
      <c r="F57" s="2"/>
    </row>
    <row r="58" spans="1:10" x14ac:dyDescent="0.25">
      <c r="A58" s="40">
        <v>10</v>
      </c>
      <c r="B58" s="7" t="s">
        <v>14</v>
      </c>
      <c r="C58" s="10"/>
      <c r="D58" s="14">
        <v>20</v>
      </c>
      <c r="E58" s="18">
        <f t="shared" si="2"/>
        <v>0.2</v>
      </c>
      <c r="F58" s="2"/>
    </row>
    <row r="59" spans="1:10" x14ac:dyDescent="0.25">
      <c r="A59" s="40">
        <v>11</v>
      </c>
      <c r="B59" s="7" t="s">
        <v>3</v>
      </c>
      <c r="C59" s="10"/>
      <c r="D59" s="14">
        <v>10</v>
      </c>
      <c r="E59" s="18">
        <f t="shared" si="2"/>
        <v>0.1</v>
      </c>
      <c r="F59" s="2"/>
    </row>
    <row r="60" spans="1:10" x14ac:dyDescent="0.25">
      <c r="A60" s="40">
        <v>12</v>
      </c>
      <c r="B60" s="7" t="s">
        <v>18</v>
      </c>
      <c r="C60" s="10"/>
      <c r="D60" s="14">
        <v>15</v>
      </c>
      <c r="E60" s="18">
        <f t="shared" si="2"/>
        <v>0.15</v>
      </c>
      <c r="F60" s="2"/>
    </row>
    <row r="61" spans="1:10" x14ac:dyDescent="0.25">
      <c r="A61" s="40">
        <v>13</v>
      </c>
      <c r="B61" s="7" t="s">
        <v>19</v>
      </c>
      <c r="C61" s="10"/>
      <c r="D61" s="14">
        <v>30</v>
      </c>
      <c r="E61" s="18">
        <f t="shared" si="2"/>
        <v>0.3</v>
      </c>
      <c r="F61" s="2"/>
    </row>
    <row r="62" spans="1:10" x14ac:dyDescent="0.25">
      <c r="D62" s="15"/>
      <c r="E62" s="5"/>
      <c r="F62" s="2"/>
    </row>
    <row r="63" spans="1:10" ht="37.5" x14ac:dyDescent="0.3">
      <c r="B63" s="4" t="s">
        <v>30</v>
      </c>
      <c r="D63" s="16" t="s">
        <v>5</v>
      </c>
      <c r="E63" s="3" t="s">
        <v>6</v>
      </c>
      <c r="F63" s="2"/>
    </row>
    <row r="64" spans="1:10" x14ac:dyDescent="0.25">
      <c r="D64" s="15"/>
      <c r="E64" s="5"/>
      <c r="F64" s="2"/>
      <c r="J64" s="20"/>
    </row>
    <row r="65" spans="1:6" x14ac:dyDescent="0.25">
      <c r="A65" s="40">
        <v>1</v>
      </c>
      <c r="B65" s="7" t="s">
        <v>31</v>
      </c>
      <c r="C65" s="10"/>
      <c r="D65" s="14">
        <v>300</v>
      </c>
      <c r="E65" s="18">
        <f>(D65*10)/1000</f>
        <v>3</v>
      </c>
      <c r="F65" s="2"/>
    </row>
    <row r="66" spans="1:6" x14ac:dyDescent="0.25">
      <c r="A66" s="40">
        <v>2</v>
      </c>
      <c r="B66" s="7" t="s">
        <v>32</v>
      </c>
      <c r="C66" s="10"/>
      <c r="D66" s="14">
        <v>150</v>
      </c>
      <c r="E66" s="18">
        <f t="shared" ref="E66:E78" si="3">(D66*10)/1000</f>
        <v>1.5</v>
      </c>
      <c r="F66" s="2"/>
    </row>
    <row r="67" spans="1:6" x14ac:dyDescent="0.25">
      <c r="A67" s="40">
        <v>3</v>
      </c>
      <c r="B67" s="7" t="s">
        <v>23</v>
      </c>
      <c r="C67" s="10"/>
      <c r="D67" s="14">
        <v>300</v>
      </c>
      <c r="E67" s="18">
        <f t="shared" si="3"/>
        <v>3</v>
      </c>
      <c r="F67" s="2"/>
    </row>
    <row r="68" spans="1:6" x14ac:dyDescent="0.25">
      <c r="A68" s="40">
        <v>5</v>
      </c>
      <c r="B68" s="7" t="s">
        <v>33</v>
      </c>
      <c r="C68" s="10"/>
      <c r="D68" s="14">
        <v>250</v>
      </c>
      <c r="E68" s="18">
        <f t="shared" si="3"/>
        <v>2.5</v>
      </c>
      <c r="F68" s="2"/>
    </row>
    <row r="69" spans="1:6" x14ac:dyDescent="0.25">
      <c r="A69" s="40">
        <v>6</v>
      </c>
      <c r="B69" s="7" t="s">
        <v>17</v>
      </c>
      <c r="C69" s="10"/>
      <c r="D69" s="14">
        <v>100</v>
      </c>
      <c r="E69" s="18">
        <f t="shared" si="3"/>
        <v>1</v>
      </c>
      <c r="F69" s="2"/>
    </row>
    <row r="70" spans="1:6" x14ac:dyDescent="0.25">
      <c r="A70" s="40">
        <v>7</v>
      </c>
      <c r="B70" s="7" t="s">
        <v>35</v>
      </c>
      <c r="C70" s="10"/>
      <c r="D70" s="14">
        <v>10</v>
      </c>
      <c r="E70" s="18">
        <f>(D70*10)/1000</f>
        <v>0.1</v>
      </c>
      <c r="F70" s="2"/>
    </row>
    <row r="71" spans="1:6" x14ac:dyDescent="0.25">
      <c r="A71" s="40">
        <v>8</v>
      </c>
      <c r="B71" s="7" t="s">
        <v>36</v>
      </c>
      <c r="C71" s="10"/>
      <c r="D71" s="14">
        <v>20</v>
      </c>
      <c r="E71" s="18">
        <f t="shared" si="3"/>
        <v>0.2</v>
      </c>
      <c r="F71" s="2"/>
    </row>
    <row r="72" spans="1:6" x14ac:dyDescent="0.25">
      <c r="A72" s="40">
        <v>9</v>
      </c>
      <c r="B72" s="7" t="s">
        <v>37</v>
      </c>
      <c r="C72" s="10"/>
      <c r="D72" s="14">
        <v>150</v>
      </c>
      <c r="E72" s="18">
        <f t="shared" si="3"/>
        <v>1.5</v>
      </c>
      <c r="F72" s="2"/>
    </row>
    <row r="73" spans="1:6" x14ac:dyDescent="0.25">
      <c r="A73" s="40">
        <v>10</v>
      </c>
      <c r="B73" s="7" t="s">
        <v>18</v>
      </c>
      <c r="C73" s="10"/>
      <c r="D73" s="14">
        <v>15</v>
      </c>
      <c r="E73" s="18">
        <f t="shared" si="3"/>
        <v>0.15</v>
      </c>
      <c r="F73" s="2"/>
    </row>
    <row r="74" spans="1:6" x14ac:dyDescent="0.25">
      <c r="A74" s="40">
        <v>11</v>
      </c>
      <c r="B74" s="7" t="s">
        <v>19</v>
      </c>
      <c r="C74" s="10"/>
      <c r="D74" s="14">
        <v>30</v>
      </c>
      <c r="E74" s="18">
        <f t="shared" si="3"/>
        <v>0.3</v>
      </c>
      <c r="F74" s="2"/>
    </row>
    <row r="75" spans="1:6" x14ac:dyDescent="0.25">
      <c r="A75" s="40">
        <v>12</v>
      </c>
      <c r="B75" s="7" t="s">
        <v>11</v>
      </c>
      <c r="C75" s="10"/>
      <c r="D75" s="14">
        <v>150</v>
      </c>
      <c r="E75" s="18">
        <f t="shared" si="3"/>
        <v>1.5</v>
      </c>
      <c r="F75" s="2"/>
    </row>
    <row r="76" spans="1:6" x14ac:dyDescent="0.25">
      <c r="A76" s="40">
        <v>13</v>
      </c>
      <c r="B76" s="7" t="s">
        <v>266</v>
      </c>
      <c r="C76" s="10"/>
      <c r="D76" s="14">
        <v>50</v>
      </c>
      <c r="E76" s="18">
        <f t="shared" si="3"/>
        <v>0.5</v>
      </c>
      <c r="F76" s="2"/>
    </row>
    <row r="77" spans="1:6" x14ac:dyDescent="0.25">
      <c r="A77" s="40">
        <v>14</v>
      </c>
      <c r="B77" s="7" t="s">
        <v>12</v>
      </c>
      <c r="C77" s="10"/>
      <c r="D77" s="14">
        <v>10</v>
      </c>
      <c r="E77" s="18">
        <f t="shared" si="3"/>
        <v>0.1</v>
      </c>
      <c r="F77" s="2"/>
    </row>
    <row r="78" spans="1:6" x14ac:dyDescent="0.25">
      <c r="A78" s="40">
        <v>15</v>
      </c>
      <c r="B78" s="7" t="s">
        <v>3</v>
      </c>
      <c r="C78" s="10"/>
      <c r="D78" s="14">
        <v>10</v>
      </c>
      <c r="E78" s="18">
        <f t="shared" si="3"/>
        <v>0.1</v>
      </c>
      <c r="F78" s="2"/>
    </row>
    <row r="79" spans="1:6" x14ac:dyDescent="0.25">
      <c r="D79" s="15"/>
      <c r="E79" s="5"/>
      <c r="F79" s="2"/>
    </row>
    <row r="80" spans="1:6" ht="18.75" x14ac:dyDescent="0.3">
      <c r="B80" s="4" t="s">
        <v>38</v>
      </c>
      <c r="D80" s="16" t="s">
        <v>5</v>
      </c>
      <c r="E80" s="3" t="s">
        <v>6</v>
      </c>
      <c r="F80" s="2"/>
    </row>
    <row r="81" spans="1:6" x14ac:dyDescent="0.25">
      <c r="D81" s="15"/>
      <c r="E81" s="5"/>
      <c r="F81" s="2"/>
    </row>
    <row r="82" spans="1:6" x14ac:dyDescent="0.25">
      <c r="A82" s="40">
        <v>1</v>
      </c>
      <c r="B82" s="7" t="s">
        <v>39</v>
      </c>
      <c r="C82" s="10"/>
      <c r="D82" s="14">
        <v>150</v>
      </c>
      <c r="E82" s="18">
        <f>(D82*10)/1000</f>
        <v>1.5</v>
      </c>
      <c r="F82" s="2"/>
    </row>
    <row r="83" spans="1:6" x14ac:dyDescent="0.25">
      <c r="A83" s="40">
        <v>2</v>
      </c>
      <c r="B83" s="7" t="s">
        <v>27</v>
      </c>
      <c r="C83" s="10"/>
      <c r="D83" s="14">
        <v>100</v>
      </c>
      <c r="E83" s="18">
        <f t="shared" ref="E83:E91" si="4">(D83*10)/1000</f>
        <v>1</v>
      </c>
      <c r="F83" s="2"/>
    </row>
    <row r="84" spans="1:6" x14ac:dyDescent="0.25">
      <c r="A84" s="40">
        <v>3</v>
      </c>
      <c r="B84" s="7" t="s">
        <v>40</v>
      </c>
      <c r="C84" s="10"/>
      <c r="D84" s="14">
        <v>50</v>
      </c>
      <c r="E84" s="18">
        <f t="shared" si="4"/>
        <v>0.5</v>
      </c>
      <c r="F84" s="2"/>
    </row>
    <row r="85" spans="1:6" x14ac:dyDescent="0.25">
      <c r="A85" s="40">
        <v>5</v>
      </c>
      <c r="B85" s="7" t="s">
        <v>41</v>
      </c>
      <c r="C85" s="10"/>
      <c r="D85" s="14">
        <v>50</v>
      </c>
      <c r="E85" s="18">
        <f t="shared" si="4"/>
        <v>0.5</v>
      </c>
      <c r="F85" s="2"/>
    </row>
    <row r="86" spans="1:6" x14ac:dyDescent="0.25">
      <c r="A86" s="40">
        <v>6</v>
      </c>
      <c r="B86" s="7" t="s">
        <v>11</v>
      </c>
      <c r="C86" s="10"/>
      <c r="D86" s="14">
        <v>100</v>
      </c>
      <c r="E86" s="18">
        <f t="shared" si="4"/>
        <v>1</v>
      </c>
      <c r="F86" s="2"/>
    </row>
    <row r="87" spans="1:6" x14ac:dyDescent="0.25">
      <c r="A87" s="40">
        <v>7</v>
      </c>
      <c r="B87" s="7" t="s">
        <v>10</v>
      </c>
      <c r="C87" s="10"/>
      <c r="D87" s="14">
        <v>150</v>
      </c>
      <c r="E87" s="18">
        <f t="shared" si="4"/>
        <v>1.5</v>
      </c>
      <c r="F87" s="2"/>
    </row>
    <row r="88" spans="1:6" x14ac:dyDescent="0.25">
      <c r="A88" s="40">
        <v>8</v>
      </c>
      <c r="B88" s="7" t="s">
        <v>36</v>
      </c>
      <c r="C88" s="10"/>
      <c r="D88" s="14">
        <v>20</v>
      </c>
      <c r="E88" s="18">
        <f t="shared" si="4"/>
        <v>0.2</v>
      </c>
      <c r="F88" s="2"/>
    </row>
    <row r="89" spans="1:6" x14ac:dyDescent="0.25">
      <c r="A89" s="40">
        <v>9</v>
      </c>
      <c r="B89" s="7" t="s">
        <v>42</v>
      </c>
      <c r="C89" s="10"/>
      <c r="D89" s="14">
        <v>100</v>
      </c>
      <c r="E89" s="18">
        <f t="shared" si="4"/>
        <v>1</v>
      </c>
      <c r="F89" s="2"/>
    </row>
    <row r="90" spans="1:6" x14ac:dyDescent="0.25">
      <c r="A90" s="40">
        <v>10</v>
      </c>
      <c r="B90" s="7" t="s">
        <v>43</v>
      </c>
      <c r="C90" s="10"/>
      <c r="D90" s="14">
        <v>300</v>
      </c>
      <c r="E90" s="18">
        <f t="shared" si="4"/>
        <v>3</v>
      </c>
      <c r="F90" s="2"/>
    </row>
    <row r="91" spans="1:6" x14ac:dyDescent="0.25">
      <c r="A91" s="40">
        <v>11</v>
      </c>
      <c r="B91" s="7" t="s">
        <v>44</v>
      </c>
      <c r="C91" s="10"/>
      <c r="D91" s="14">
        <v>10</v>
      </c>
      <c r="E91" s="18">
        <f t="shared" si="4"/>
        <v>0.1</v>
      </c>
      <c r="F91" s="2"/>
    </row>
    <row r="92" spans="1:6" x14ac:dyDescent="0.25">
      <c r="A92" s="40">
        <v>12</v>
      </c>
      <c r="B92" s="7"/>
      <c r="C92" s="10"/>
      <c r="D92" s="14"/>
      <c r="E92" s="18"/>
      <c r="F92" s="2"/>
    </row>
    <row r="93" spans="1:6" x14ac:dyDescent="0.25">
      <c r="D93" s="15"/>
      <c r="E93" s="5"/>
      <c r="F93" s="2"/>
    </row>
    <row r="94" spans="1:6" ht="37.5" x14ac:dyDescent="0.3">
      <c r="B94" s="4" t="s">
        <v>45</v>
      </c>
      <c r="D94" s="16" t="s">
        <v>5</v>
      </c>
      <c r="E94" s="3" t="s">
        <v>6</v>
      </c>
      <c r="F94" s="2"/>
    </row>
    <row r="95" spans="1:6" x14ac:dyDescent="0.25">
      <c r="D95" s="15"/>
      <c r="E95" s="5"/>
      <c r="F95" s="2"/>
    </row>
    <row r="96" spans="1:6" x14ac:dyDescent="0.25">
      <c r="A96" s="40">
        <v>1</v>
      </c>
      <c r="B96" s="7" t="s">
        <v>46</v>
      </c>
      <c r="C96" s="10"/>
      <c r="D96" s="14">
        <v>250</v>
      </c>
      <c r="E96" s="18">
        <f>(D96*10)/1000</f>
        <v>2.5</v>
      </c>
      <c r="F96" s="2">
        <v>37.5</v>
      </c>
    </row>
    <row r="97" spans="1:6" x14ac:dyDescent="0.25">
      <c r="A97" s="40">
        <v>2</v>
      </c>
      <c r="B97" s="7" t="s">
        <v>267</v>
      </c>
      <c r="C97" s="10"/>
      <c r="D97" s="14">
        <v>100</v>
      </c>
      <c r="E97" s="18">
        <f t="shared" ref="E97:E161" si="5">(D97*10)/1000</f>
        <v>1</v>
      </c>
      <c r="F97" s="2"/>
    </row>
    <row r="98" spans="1:6" x14ac:dyDescent="0.25">
      <c r="A98" s="40">
        <v>3</v>
      </c>
      <c r="B98" s="7" t="s">
        <v>11</v>
      </c>
      <c r="C98" s="10"/>
      <c r="D98" s="14">
        <v>200</v>
      </c>
      <c r="E98" s="18">
        <f t="shared" si="5"/>
        <v>2</v>
      </c>
      <c r="F98" s="2"/>
    </row>
    <row r="99" spans="1:6" x14ac:dyDescent="0.25">
      <c r="A99" s="40">
        <v>5</v>
      </c>
      <c r="B99" s="7" t="s">
        <v>70</v>
      </c>
      <c r="C99" s="10"/>
      <c r="D99" s="14">
        <v>20</v>
      </c>
      <c r="E99" s="18">
        <f t="shared" si="5"/>
        <v>0.2</v>
      </c>
      <c r="F99" s="2"/>
    </row>
    <row r="100" spans="1:6" x14ac:dyDescent="0.25">
      <c r="A100" s="40">
        <v>6</v>
      </c>
      <c r="B100" s="7" t="s">
        <v>10</v>
      </c>
      <c r="C100" s="10"/>
      <c r="D100" s="14">
        <v>150</v>
      </c>
      <c r="E100" s="18">
        <f t="shared" si="5"/>
        <v>1.5</v>
      </c>
      <c r="F100" s="2"/>
    </row>
    <row r="101" spans="1:6" x14ac:dyDescent="0.25">
      <c r="A101" s="40">
        <v>7</v>
      </c>
      <c r="B101" s="7" t="s">
        <v>47</v>
      </c>
      <c r="C101" s="10"/>
      <c r="D101" s="14">
        <v>30</v>
      </c>
      <c r="E101" s="18">
        <f t="shared" si="5"/>
        <v>0.3</v>
      </c>
      <c r="F101" s="2"/>
    </row>
    <row r="102" spans="1:6" x14ac:dyDescent="0.25">
      <c r="A102" s="40">
        <v>8</v>
      </c>
      <c r="B102" s="7" t="s">
        <v>48</v>
      </c>
      <c r="C102" s="10"/>
      <c r="D102" s="14">
        <v>150</v>
      </c>
      <c r="E102" s="18">
        <f t="shared" si="5"/>
        <v>1.5</v>
      </c>
      <c r="F102" s="2"/>
    </row>
    <row r="103" spans="1:6" x14ac:dyDescent="0.25">
      <c r="A103" s="40">
        <v>9</v>
      </c>
      <c r="B103" s="7" t="s">
        <v>18</v>
      </c>
      <c r="C103" s="10"/>
      <c r="D103" s="14">
        <v>15</v>
      </c>
      <c r="E103" s="18">
        <f t="shared" si="5"/>
        <v>0.15</v>
      </c>
      <c r="F103" s="2"/>
    </row>
    <row r="104" spans="1:6" x14ac:dyDescent="0.25">
      <c r="A104" s="40">
        <v>10</v>
      </c>
      <c r="B104" s="7" t="s">
        <v>19</v>
      </c>
      <c r="C104" s="10"/>
      <c r="D104" s="14">
        <v>30</v>
      </c>
      <c r="E104" s="18">
        <f t="shared" si="5"/>
        <v>0.3</v>
      </c>
      <c r="F104" s="2"/>
    </row>
    <row r="105" spans="1:6" x14ac:dyDescent="0.25">
      <c r="A105" s="40">
        <v>11</v>
      </c>
      <c r="B105" s="7" t="s">
        <v>49</v>
      </c>
      <c r="C105" s="10"/>
      <c r="D105" s="14">
        <v>10</v>
      </c>
      <c r="E105" s="18">
        <f t="shared" si="5"/>
        <v>0.1</v>
      </c>
      <c r="F105" s="2"/>
    </row>
    <row r="106" spans="1:6" x14ac:dyDescent="0.25">
      <c r="A106" s="40">
        <v>12</v>
      </c>
      <c r="B106" s="7" t="s">
        <v>50</v>
      </c>
      <c r="C106" s="10"/>
      <c r="D106" s="14">
        <v>300</v>
      </c>
      <c r="E106" s="18">
        <f t="shared" si="5"/>
        <v>3</v>
      </c>
      <c r="F106" s="2"/>
    </row>
    <row r="107" spans="1:6" x14ac:dyDescent="0.25">
      <c r="A107" s="40">
        <v>13</v>
      </c>
      <c r="B107" s="7" t="s">
        <v>51</v>
      </c>
      <c r="C107" s="10"/>
      <c r="D107" s="14">
        <v>300</v>
      </c>
      <c r="E107" s="18">
        <f t="shared" si="5"/>
        <v>3</v>
      </c>
      <c r="F107" s="2"/>
    </row>
    <row r="108" spans="1:6" x14ac:dyDescent="0.25">
      <c r="A108" s="40">
        <v>14</v>
      </c>
      <c r="B108" s="7" t="s">
        <v>52</v>
      </c>
      <c r="C108" s="10"/>
      <c r="D108" s="14">
        <v>300</v>
      </c>
      <c r="E108" s="18">
        <f t="shared" si="5"/>
        <v>3</v>
      </c>
      <c r="F108" s="2"/>
    </row>
    <row r="109" spans="1:6" x14ac:dyDescent="0.25">
      <c r="A109" s="40">
        <v>15</v>
      </c>
      <c r="B109" s="7" t="s">
        <v>53</v>
      </c>
      <c r="C109" s="10"/>
      <c r="D109" s="14">
        <v>100</v>
      </c>
      <c r="E109" s="18">
        <f t="shared" si="5"/>
        <v>1</v>
      </c>
      <c r="F109" s="2"/>
    </row>
    <row r="110" spans="1:6" x14ac:dyDescent="0.25">
      <c r="A110" s="40">
        <v>16</v>
      </c>
      <c r="B110" s="7" t="s">
        <v>12</v>
      </c>
      <c r="C110" s="10"/>
      <c r="D110" s="14">
        <v>10</v>
      </c>
      <c r="E110" s="18">
        <f t="shared" si="5"/>
        <v>0.1</v>
      </c>
      <c r="F110" s="2"/>
    </row>
    <row r="111" spans="1:6" x14ac:dyDescent="0.25">
      <c r="A111" s="40">
        <v>17</v>
      </c>
      <c r="B111" s="7" t="s">
        <v>3</v>
      </c>
      <c r="C111" s="10"/>
      <c r="D111" s="14">
        <v>10</v>
      </c>
      <c r="E111" s="18">
        <f t="shared" si="5"/>
        <v>0.1</v>
      </c>
      <c r="F111" s="2"/>
    </row>
    <row r="112" spans="1:6" x14ac:dyDescent="0.25">
      <c r="B112" s="7"/>
      <c r="C112" s="10"/>
      <c r="D112" s="14"/>
      <c r="E112" s="18"/>
      <c r="F112" s="2"/>
    </row>
    <row r="113" spans="1:6" x14ac:dyDescent="0.25">
      <c r="D113" s="15"/>
      <c r="E113" s="22"/>
      <c r="F113" s="2"/>
    </row>
    <row r="114" spans="1:6" ht="37.5" x14ac:dyDescent="0.3">
      <c r="B114" s="4" t="s">
        <v>54</v>
      </c>
      <c r="D114" s="16" t="s">
        <v>5</v>
      </c>
      <c r="E114" s="22"/>
      <c r="F114" s="2"/>
    </row>
    <row r="115" spans="1:6" x14ac:dyDescent="0.25">
      <c r="D115" s="15"/>
      <c r="E115" s="22"/>
      <c r="F115" s="2"/>
    </row>
    <row r="116" spans="1:6" x14ac:dyDescent="0.25">
      <c r="A116" s="40">
        <v>1</v>
      </c>
      <c r="B116" s="7" t="s">
        <v>46</v>
      </c>
      <c r="C116" s="10"/>
      <c r="D116" s="14">
        <v>250</v>
      </c>
      <c r="E116" s="18">
        <f t="shared" si="5"/>
        <v>2.5</v>
      </c>
      <c r="F116" s="2">
        <v>37.5</v>
      </c>
    </row>
    <row r="117" spans="1:6" x14ac:dyDescent="0.25">
      <c r="A117" s="40">
        <v>2</v>
      </c>
      <c r="B117" s="7" t="s">
        <v>55</v>
      </c>
      <c r="C117" s="10"/>
      <c r="D117" s="14">
        <v>50</v>
      </c>
      <c r="E117" s="18">
        <f t="shared" si="5"/>
        <v>0.5</v>
      </c>
      <c r="F117" s="2"/>
    </row>
    <row r="118" spans="1:6" x14ac:dyDescent="0.25">
      <c r="A118" s="40">
        <v>3</v>
      </c>
      <c r="B118" s="7" t="s">
        <v>53</v>
      </c>
      <c r="C118" s="10"/>
      <c r="D118" s="14">
        <v>200</v>
      </c>
      <c r="E118" s="18">
        <f t="shared" si="5"/>
        <v>2</v>
      </c>
      <c r="F118" s="2"/>
    </row>
    <row r="119" spans="1:6" x14ac:dyDescent="0.25">
      <c r="A119" s="40">
        <v>5</v>
      </c>
      <c r="B119" s="7" t="s">
        <v>56</v>
      </c>
      <c r="C119" s="10"/>
      <c r="D119" s="14">
        <v>300</v>
      </c>
      <c r="E119" s="18">
        <f t="shared" si="5"/>
        <v>3</v>
      </c>
      <c r="F119" s="2"/>
    </row>
    <row r="120" spans="1:6" x14ac:dyDescent="0.25">
      <c r="A120" s="40">
        <v>6</v>
      </c>
      <c r="B120" s="7" t="s">
        <v>11</v>
      </c>
      <c r="C120" s="10"/>
      <c r="D120" s="14">
        <v>200</v>
      </c>
      <c r="E120" s="18">
        <f t="shared" si="5"/>
        <v>2</v>
      </c>
      <c r="F120" s="2"/>
    </row>
    <row r="121" spans="1:6" x14ac:dyDescent="0.25">
      <c r="A121" s="40">
        <v>7</v>
      </c>
      <c r="B121" s="7" t="s">
        <v>41</v>
      </c>
      <c r="C121" s="10"/>
      <c r="D121" s="14">
        <v>50</v>
      </c>
      <c r="E121" s="18">
        <f t="shared" si="5"/>
        <v>0.5</v>
      </c>
      <c r="F121" s="2"/>
    </row>
    <row r="122" spans="1:6" x14ac:dyDescent="0.25">
      <c r="A122" s="40">
        <v>8</v>
      </c>
      <c r="B122" s="7" t="s">
        <v>10</v>
      </c>
      <c r="C122" s="10"/>
      <c r="D122" s="14">
        <v>150</v>
      </c>
      <c r="E122" s="18">
        <f t="shared" si="5"/>
        <v>1.5</v>
      </c>
      <c r="F122" s="2"/>
    </row>
    <row r="123" spans="1:6" x14ac:dyDescent="0.25">
      <c r="A123" s="40">
        <v>9</v>
      </c>
      <c r="B123" s="7" t="s">
        <v>47</v>
      </c>
      <c r="C123" s="10"/>
      <c r="D123" s="14">
        <v>30</v>
      </c>
      <c r="E123" s="18">
        <f t="shared" si="5"/>
        <v>0.3</v>
      </c>
      <c r="F123" s="2"/>
    </row>
    <row r="124" spans="1:6" x14ac:dyDescent="0.25">
      <c r="A124" s="40">
        <v>10</v>
      </c>
      <c r="B124" s="7" t="s">
        <v>57</v>
      </c>
      <c r="C124" s="10"/>
      <c r="D124" s="14">
        <v>10</v>
      </c>
      <c r="E124" s="18">
        <f t="shared" si="5"/>
        <v>0.1</v>
      </c>
      <c r="F124" s="2"/>
    </row>
    <row r="125" spans="1:6" x14ac:dyDescent="0.25">
      <c r="A125" s="40">
        <v>11</v>
      </c>
      <c r="B125" s="7" t="s">
        <v>3</v>
      </c>
      <c r="C125" s="10"/>
      <c r="D125" s="14">
        <v>10</v>
      </c>
      <c r="E125" s="18">
        <f t="shared" si="5"/>
        <v>0.1</v>
      </c>
      <c r="F125" s="2"/>
    </row>
    <row r="126" spans="1:6" x14ac:dyDescent="0.25">
      <c r="A126" s="40">
        <v>12</v>
      </c>
      <c r="B126" s="7" t="s">
        <v>18</v>
      </c>
      <c r="C126" s="10"/>
      <c r="D126" s="14">
        <v>15</v>
      </c>
      <c r="E126" s="18">
        <f t="shared" si="5"/>
        <v>0.15</v>
      </c>
      <c r="F126" s="2"/>
    </row>
    <row r="127" spans="1:6" x14ac:dyDescent="0.25">
      <c r="A127" s="40">
        <v>13</v>
      </c>
      <c r="B127" s="7" t="s">
        <v>19</v>
      </c>
      <c r="C127" s="10"/>
      <c r="D127" s="14">
        <v>30</v>
      </c>
      <c r="E127" s="18">
        <f t="shared" si="5"/>
        <v>0.3</v>
      </c>
      <c r="F127" s="2"/>
    </row>
    <row r="128" spans="1:6" x14ac:dyDescent="0.25">
      <c r="A128" s="40">
        <v>14</v>
      </c>
      <c r="B128" s="7" t="s">
        <v>58</v>
      </c>
      <c r="C128" s="10"/>
      <c r="D128" s="14">
        <v>50</v>
      </c>
      <c r="E128" s="18">
        <f t="shared" si="5"/>
        <v>0.5</v>
      </c>
      <c r="F128" s="2"/>
    </row>
    <row r="129" spans="1:6" x14ac:dyDescent="0.25">
      <c r="A129" s="40">
        <v>15</v>
      </c>
      <c r="B129" s="7"/>
      <c r="C129" s="10"/>
      <c r="D129" s="14"/>
      <c r="E129" s="18"/>
      <c r="F129" s="2"/>
    </row>
    <row r="130" spans="1:6" x14ac:dyDescent="0.25">
      <c r="D130" s="15"/>
      <c r="E130" s="22"/>
      <c r="F130" s="2"/>
    </row>
    <row r="131" spans="1:6" ht="37.5" x14ac:dyDescent="0.3">
      <c r="B131" s="4" t="s">
        <v>59</v>
      </c>
      <c r="D131" s="16" t="s">
        <v>5</v>
      </c>
      <c r="E131" s="22"/>
      <c r="F131" s="2"/>
    </row>
    <row r="132" spans="1:6" x14ac:dyDescent="0.25">
      <c r="D132" s="15"/>
      <c r="E132" s="22"/>
      <c r="F132" s="2"/>
    </row>
    <row r="133" spans="1:6" x14ac:dyDescent="0.25">
      <c r="A133" s="40">
        <v>1</v>
      </c>
      <c r="B133" s="7" t="s">
        <v>60</v>
      </c>
      <c r="C133" s="10"/>
      <c r="D133" s="14">
        <v>250</v>
      </c>
      <c r="E133" s="18">
        <f>(D133*10)/1000</f>
        <v>2.5</v>
      </c>
      <c r="F133" s="2">
        <v>37.5</v>
      </c>
    </row>
    <row r="134" spans="1:6" x14ac:dyDescent="0.25">
      <c r="A134" s="40">
        <v>2</v>
      </c>
      <c r="B134" s="7" t="s">
        <v>11</v>
      </c>
      <c r="C134" s="10"/>
      <c r="D134" s="14">
        <v>200</v>
      </c>
      <c r="E134" s="18">
        <f t="shared" si="5"/>
        <v>2</v>
      </c>
      <c r="F134" s="2"/>
    </row>
    <row r="135" spans="1:6" x14ac:dyDescent="0.25">
      <c r="A135" s="40">
        <v>3</v>
      </c>
      <c r="B135" s="7" t="s">
        <v>61</v>
      </c>
      <c r="C135" s="10"/>
      <c r="D135" s="14">
        <v>50</v>
      </c>
      <c r="E135" s="18">
        <f t="shared" si="5"/>
        <v>0.5</v>
      </c>
      <c r="F135" s="2"/>
    </row>
    <row r="136" spans="1:6" x14ac:dyDescent="0.25">
      <c r="A136" s="40">
        <v>5</v>
      </c>
      <c r="B136" s="7" t="s">
        <v>53</v>
      </c>
      <c r="C136" s="10"/>
      <c r="D136" s="14">
        <v>200</v>
      </c>
      <c r="E136" s="18">
        <f t="shared" si="5"/>
        <v>2</v>
      </c>
      <c r="F136" s="2"/>
    </row>
    <row r="137" spans="1:6" x14ac:dyDescent="0.25">
      <c r="A137" s="40">
        <v>6</v>
      </c>
      <c r="B137" s="7" t="s">
        <v>62</v>
      </c>
      <c r="C137" s="10"/>
      <c r="D137" s="14">
        <v>30</v>
      </c>
      <c r="E137" s="18">
        <f t="shared" si="5"/>
        <v>0.3</v>
      </c>
      <c r="F137" s="2"/>
    </row>
    <row r="138" spans="1:6" x14ac:dyDescent="0.25">
      <c r="A138" s="40">
        <v>7</v>
      </c>
      <c r="B138" s="7" t="s">
        <v>63</v>
      </c>
      <c r="C138" s="10"/>
      <c r="D138" s="14">
        <v>75</v>
      </c>
      <c r="E138" s="18">
        <f t="shared" si="5"/>
        <v>0.75</v>
      </c>
      <c r="F138" s="2"/>
    </row>
    <row r="139" spans="1:6" x14ac:dyDescent="0.25">
      <c r="A139" s="40">
        <v>8</v>
      </c>
      <c r="B139" s="7" t="s">
        <v>64</v>
      </c>
      <c r="C139" s="10"/>
      <c r="D139" s="14">
        <v>50</v>
      </c>
      <c r="E139" s="18">
        <f t="shared" si="5"/>
        <v>0.5</v>
      </c>
      <c r="F139" s="2"/>
    </row>
    <row r="140" spans="1:6" x14ac:dyDescent="0.25">
      <c r="A140" s="40">
        <v>9</v>
      </c>
      <c r="B140" s="7" t="s">
        <v>10</v>
      </c>
      <c r="C140" s="10"/>
      <c r="D140" s="14">
        <v>150</v>
      </c>
      <c r="E140" s="18">
        <f t="shared" si="5"/>
        <v>1.5</v>
      </c>
      <c r="F140" s="2"/>
    </row>
    <row r="141" spans="1:6" x14ac:dyDescent="0.25">
      <c r="A141" s="40">
        <v>10</v>
      </c>
      <c r="B141" s="7" t="s">
        <v>65</v>
      </c>
      <c r="C141" s="10"/>
      <c r="D141" s="14">
        <v>100</v>
      </c>
      <c r="E141" s="18">
        <f t="shared" si="5"/>
        <v>1</v>
      </c>
      <c r="F141" s="2"/>
    </row>
    <row r="142" spans="1:6" x14ac:dyDescent="0.25">
      <c r="A142" s="40">
        <v>11</v>
      </c>
      <c r="B142" s="7" t="s">
        <v>66</v>
      </c>
      <c r="C142" s="10"/>
      <c r="D142" s="14">
        <v>15</v>
      </c>
      <c r="E142" s="18">
        <f t="shared" si="5"/>
        <v>0.15</v>
      </c>
      <c r="F142" s="2"/>
    </row>
    <row r="143" spans="1:6" x14ac:dyDescent="0.25">
      <c r="A143" s="40">
        <v>12</v>
      </c>
      <c r="B143" s="7" t="s">
        <v>67</v>
      </c>
      <c r="C143" s="10"/>
      <c r="D143" s="14">
        <v>30</v>
      </c>
      <c r="E143" s="18">
        <f t="shared" si="5"/>
        <v>0.3</v>
      </c>
      <c r="F143" s="2"/>
    </row>
    <row r="144" spans="1:6" x14ac:dyDescent="0.25">
      <c r="A144" s="40">
        <v>13</v>
      </c>
      <c r="B144" s="7" t="s">
        <v>12</v>
      </c>
      <c r="C144" s="10"/>
      <c r="D144" s="14">
        <v>10</v>
      </c>
      <c r="E144" s="18">
        <f t="shared" si="5"/>
        <v>0.1</v>
      </c>
      <c r="F144" s="2"/>
    </row>
    <row r="145" spans="1:6" x14ac:dyDescent="0.25">
      <c r="A145" s="40">
        <v>14</v>
      </c>
      <c r="B145" s="7" t="s">
        <v>3</v>
      </c>
      <c r="C145" s="10"/>
      <c r="D145" s="14">
        <v>10</v>
      </c>
      <c r="E145" s="18">
        <f t="shared" si="5"/>
        <v>0.1</v>
      </c>
      <c r="F145" s="2"/>
    </row>
    <row r="146" spans="1:6" x14ac:dyDescent="0.25">
      <c r="B146" s="7"/>
      <c r="C146" s="10"/>
      <c r="D146" s="14"/>
      <c r="E146" s="18"/>
      <c r="F146" s="2"/>
    </row>
    <row r="147" spans="1:6" x14ac:dyDescent="0.25">
      <c r="D147" s="15"/>
      <c r="E147" s="22"/>
      <c r="F147" s="2"/>
    </row>
    <row r="148" spans="1:6" ht="18.75" x14ac:dyDescent="0.3">
      <c r="B148" s="4" t="s">
        <v>68</v>
      </c>
      <c r="D148" s="16" t="s">
        <v>5</v>
      </c>
      <c r="E148" s="22"/>
      <c r="F148" s="2"/>
    </row>
    <row r="149" spans="1:6" x14ac:dyDescent="0.25">
      <c r="D149" s="15"/>
      <c r="E149" s="22"/>
      <c r="F149" s="2"/>
    </row>
    <row r="150" spans="1:6" x14ac:dyDescent="0.25">
      <c r="A150" s="40">
        <v>1</v>
      </c>
      <c r="B150" s="7" t="s">
        <v>46</v>
      </c>
      <c r="C150" s="10"/>
      <c r="D150" s="14">
        <v>250</v>
      </c>
      <c r="E150" s="18">
        <f t="shared" si="5"/>
        <v>2.5</v>
      </c>
      <c r="F150" s="2">
        <v>37.5</v>
      </c>
    </row>
    <row r="151" spans="1:6" x14ac:dyDescent="0.25">
      <c r="A151" s="40">
        <v>2</v>
      </c>
      <c r="B151" s="7" t="s">
        <v>69</v>
      </c>
      <c r="C151" s="10"/>
      <c r="D151" s="14">
        <v>30</v>
      </c>
      <c r="E151" s="18">
        <f t="shared" si="5"/>
        <v>0.3</v>
      </c>
      <c r="F151" s="2"/>
    </row>
    <row r="152" spans="1:6" x14ac:dyDescent="0.25">
      <c r="A152" s="40">
        <v>3</v>
      </c>
      <c r="B152" s="7" t="s">
        <v>66</v>
      </c>
      <c r="C152" s="10"/>
      <c r="D152" s="14">
        <v>15</v>
      </c>
      <c r="E152" s="18">
        <f t="shared" si="5"/>
        <v>0.15</v>
      </c>
      <c r="F152" s="2"/>
    </row>
    <row r="153" spans="1:6" x14ac:dyDescent="0.25">
      <c r="A153" s="40">
        <v>5</v>
      </c>
      <c r="B153" s="7" t="s">
        <v>19</v>
      </c>
      <c r="C153" s="10"/>
      <c r="D153" s="14">
        <v>30</v>
      </c>
      <c r="E153" s="18">
        <f t="shared" si="5"/>
        <v>0.3</v>
      </c>
      <c r="F153" s="2"/>
    </row>
    <row r="154" spans="1:6" x14ac:dyDescent="0.25">
      <c r="A154" s="40">
        <v>6</v>
      </c>
      <c r="B154" s="7" t="s">
        <v>11</v>
      </c>
      <c r="C154" s="10"/>
      <c r="D154" s="14">
        <v>200</v>
      </c>
      <c r="E154" s="18">
        <f t="shared" si="5"/>
        <v>2</v>
      </c>
      <c r="F154" s="2"/>
    </row>
    <row r="155" spans="1:6" x14ac:dyDescent="0.25">
      <c r="A155" s="40">
        <v>7</v>
      </c>
      <c r="B155" s="7" t="s">
        <v>10</v>
      </c>
      <c r="C155" s="10"/>
      <c r="D155" s="14">
        <v>150</v>
      </c>
      <c r="E155" s="18">
        <f t="shared" si="5"/>
        <v>1.5</v>
      </c>
      <c r="F155" s="2"/>
    </row>
    <row r="156" spans="1:6" x14ac:dyDescent="0.25">
      <c r="A156" s="40">
        <v>8</v>
      </c>
      <c r="B156" s="7" t="s">
        <v>270</v>
      </c>
      <c r="C156" s="10"/>
      <c r="D156" s="14">
        <v>300</v>
      </c>
      <c r="E156" s="18">
        <f t="shared" si="5"/>
        <v>3</v>
      </c>
      <c r="F156" s="2"/>
    </row>
    <row r="157" spans="1:6" x14ac:dyDescent="0.25">
      <c r="A157" s="40">
        <v>9</v>
      </c>
      <c r="B157" s="7" t="s">
        <v>58</v>
      </c>
      <c r="C157" s="10"/>
      <c r="D157" s="14">
        <v>50</v>
      </c>
      <c r="E157" s="18">
        <f t="shared" si="5"/>
        <v>0.5</v>
      </c>
      <c r="F157" s="2"/>
    </row>
    <row r="158" spans="1:6" x14ac:dyDescent="0.25">
      <c r="A158" s="40">
        <v>10</v>
      </c>
      <c r="B158" s="7" t="s">
        <v>57</v>
      </c>
      <c r="C158" s="10"/>
      <c r="D158" s="14">
        <v>10</v>
      </c>
      <c r="E158" s="18">
        <f t="shared" si="5"/>
        <v>0.1</v>
      </c>
      <c r="F158" s="2"/>
    </row>
    <row r="159" spans="1:6" x14ac:dyDescent="0.25">
      <c r="A159" s="40">
        <v>11</v>
      </c>
      <c r="B159" s="7" t="s">
        <v>3</v>
      </c>
      <c r="C159" s="10"/>
      <c r="D159" s="14">
        <v>10</v>
      </c>
      <c r="E159" s="18">
        <f t="shared" si="5"/>
        <v>0.1</v>
      </c>
      <c r="F159" s="2"/>
    </row>
    <row r="160" spans="1:6" x14ac:dyDescent="0.25">
      <c r="A160" s="40">
        <v>12</v>
      </c>
      <c r="B160" s="7" t="s">
        <v>71</v>
      </c>
      <c r="C160" s="10"/>
      <c r="D160" s="14">
        <v>30</v>
      </c>
      <c r="E160" s="18">
        <f t="shared" si="5"/>
        <v>0.3</v>
      </c>
      <c r="F160" s="2"/>
    </row>
    <row r="161" spans="1:6" x14ac:dyDescent="0.25">
      <c r="A161" s="40">
        <v>13</v>
      </c>
      <c r="B161" s="7" t="s">
        <v>41</v>
      </c>
      <c r="C161" s="10"/>
      <c r="D161" s="14">
        <v>50</v>
      </c>
      <c r="E161" s="18">
        <f t="shared" si="5"/>
        <v>0.5</v>
      </c>
      <c r="F161" s="2"/>
    </row>
    <row r="162" spans="1:6" x14ac:dyDescent="0.25">
      <c r="A162" s="40">
        <v>14</v>
      </c>
      <c r="B162" s="7" t="s">
        <v>53</v>
      </c>
      <c r="C162" s="10"/>
      <c r="D162" s="14">
        <v>100</v>
      </c>
      <c r="E162" s="18">
        <f t="shared" ref="E162:E226" si="6">(D162*10)/1000</f>
        <v>1</v>
      </c>
      <c r="F162" s="2"/>
    </row>
    <row r="163" spans="1:6" x14ac:dyDescent="0.25">
      <c r="B163" s="7"/>
      <c r="C163" s="10"/>
      <c r="D163" s="14"/>
      <c r="E163" s="18"/>
      <c r="F163" s="2"/>
    </row>
    <row r="164" spans="1:6" x14ac:dyDescent="0.25">
      <c r="D164" s="15"/>
      <c r="E164" s="22"/>
      <c r="F164" s="2"/>
    </row>
    <row r="165" spans="1:6" ht="18.75" x14ac:dyDescent="0.3">
      <c r="B165" s="4" t="s">
        <v>72</v>
      </c>
      <c r="D165" s="16" t="s">
        <v>5</v>
      </c>
      <c r="E165" s="22"/>
      <c r="F165" s="2"/>
    </row>
    <row r="166" spans="1:6" x14ac:dyDescent="0.25">
      <c r="D166" s="15"/>
      <c r="E166" s="22"/>
      <c r="F166" s="2"/>
    </row>
    <row r="167" spans="1:6" x14ac:dyDescent="0.25">
      <c r="A167" s="40">
        <v>1</v>
      </c>
      <c r="B167" s="7" t="s">
        <v>46</v>
      </c>
      <c r="C167" s="10"/>
      <c r="D167" s="14">
        <v>250</v>
      </c>
      <c r="E167" s="18">
        <f t="shared" si="6"/>
        <v>2.5</v>
      </c>
      <c r="F167" s="2">
        <v>37.5</v>
      </c>
    </row>
    <row r="168" spans="1:6" x14ac:dyDescent="0.25">
      <c r="A168" s="40">
        <v>2</v>
      </c>
      <c r="B168" s="7" t="s">
        <v>222</v>
      </c>
      <c r="C168" s="10"/>
      <c r="D168" s="14">
        <v>300</v>
      </c>
      <c r="E168" s="18">
        <f t="shared" si="6"/>
        <v>3</v>
      </c>
      <c r="F168" s="2"/>
    </row>
    <row r="169" spans="1:6" x14ac:dyDescent="0.25">
      <c r="A169" s="40">
        <v>3</v>
      </c>
      <c r="B169" s="7" t="s">
        <v>73</v>
      </c>
      <c r="C169" s="10"/>
      <c r="D169" s="14">
        <v>10</v>
      </c>
      <c r="E169" s="18">
        <f t="shared" si="6"/>
        <v>0.1</v>
      </c>
      <c r="F169" s="2"/>
    </row>
    <row r="170" spans="1:6" x14ac:dyDescent="0.25">
      <c r="A170" s="40">
        <v>5</v>
      </c>
      <c r="B170" s="7" t="s">
        <v>74</v>
      </c>
      <c r="C170" s="10"/>
      <c r="D170" s="14">
        <v>30</v>
      </c>
      <c r="E170" s="18">
        <f t="shared" si="6"/>
        <v>0.3</v>
      </c>
      <c r="F170" s="2"/>
    </row>
    <row r="171" spans="1:6" x14ac:dyDescent="0.25">
      <c r="A171" s="40">
        <v>6</v>
      </c>
      <c r="B171" s="7" t="s">
        <v>10</v>
      </c>
      <c r="C171" s="10"/>
      <c r="D171" s="14">
        <v>150</v>
      </c>
      <c r="E171" s="18">
        <f t="shared" si="6"/>
        <v>1.5</v>
      </c>
      <c r="F171" s="2"/>
    </row>
    <row r="172" spans="1:6" x14ac:dyDescent="0.25">
      <c r="A172" s="40">
        <v>7</v>
      </c>
      <c r="B172" s="7" t="s">
        <v>58</v>
      </c>
      <c r="C172" s="10"/>
      <c r="D172" s="14">
        <v>50</v>
      </c>
      <c r="E172" s="18">
        <f t="shared" si="6"/>
        <v>0.5</v>
      </c>
      <c r="F172" s="2"/>
    </row>
    <row r="173" spans="1:6" x14ac:dyDescent="0.25">
      <c r="A173" s="40">
        <v>8</v>
      </c>
      <c r="B173" s="7" t="s">
        <v>63</v>
      </c>
      <c r="C173" s="10"/>
      <c r="D173" s="14">
        <v>75</v>
      </c>
      <c r="E173" s="18">
        <f t="shared" si="6"/>
        <v>0.75</v>
      </c>
      <c r="F173" s="2"/>
    </row>
    <row r="174" spans="1:6" x14ac:dyDescent="0.25">
      <c r="A174" s="40">
        <v>9</v>
      </c>
      <c r="B174" s="7" t="s">
        <v>75</v>
      </c>
      <c r="C174" s="10"/>
      <c r="D174" s="14">
        <v>10</v>
      </c>
      <c r="E174" s="18">
        <f t="shared" si="6"/>
        <v>0.1</v>
      </c>
      <c r="F174" s="2"/>
    </row>
    <row r="175" spans="1:6" x14ac:dyDescent="0.25">
      <c r="A175" s="40">
        <v>10</v>
      </c>
      <c r="B175" s="7" t="s">
        <v>3</v>
      </c>
      <c r="C175" s="10"/>
      <c r="D175" s="14">
        <v>10</v>
      </c>
      <c r="E175" s="18">
        <f t="shared" si="6"/>
        <v>0.1</v>
      </c>
      <c r="F175" s="2"/>
    </row>
    <row r="176" spans="1:6" x14ac:dyDescent="0.25">
      <c r="A176" s="40">
        <v>11</v>
      </c>
      <c r="B176" s="7" t="s">
        <v>12</v>
      </c>
      <c r="C176" s="10"/>
      <c r="D176" s="14">
        <v>10</v>
      </c>
      <c r="E176" s="18">
        <f t="shared" si="6"/>
        <v>0.1</v>
      </c>
      <c r="F176" s="2"/>
    </row>
    <row r="177" spans="1:6" x14ac:dyDescent="0.25">
      <c r="A177" s="40">
        <v>12</v>
      </c>
      <c r="B177" s="7" t="s">
        <v>18</v>
      </c>
      <c r="C177" s="10"/>
      <c r="D177" s="14">
        <v>15</v>
      </c>
      <c r="E177" s="18">
        <f t="shared" si="6"/>
        <v>0.15</v>
      </c>
      <c r="F177" s="2"/>
    </row>
    <row r="178" spans="1:6" x14ac:dyDescent="0.25">
      <c r="A178" s="40">
        <v>13</v>
      </c>
      <c r="B178" s="7" t="s">
        <v>19</v>
      </c>
      <c r="C178" s="10"/>
      <c r="D178" s="14">
        <v>30</v>
      </c>
      <c r="E178" s="18">
        <f t="shared" si="6"/>
        <v>0.3</v>
      </c>
      <c r="F178" s="2"/>
    </row>
    <row r="179" spans="1:6" x14ac:dyDescent="0.25">
      <c r="A179" s="40">
        <v>14</v>
      </c>
      <c r="B179" s="7" t="s">
        <v>53</v>
      </c>
      <c r="C179" s="10"/>
      <c r="D179" s="14">
        <v>100</v>
      </c>
      <c r="E179" s="18">
        <f t="shared" si="6"/>
        <v>1</v>
      </c>
      <c r="F179" s="2"/>
    </row>
    <row r="180" spans="1:6" x14ac:dyDescent="0.25">
      <c r="D180" s="15"/>
      <c r="E180" s="22"/>
      <c r="F180" s="2"/>
    </row>
    <row r="181" spans="1:6" x14ac:dyDescent="0.25">
      <c r="D181" s="15"/>
      <c r="E181" s="22"/>
      <c r="F181" s="2"/>
    </row>
    <row r="182" spans="1:6" ht="37.5" x14ac:dyDescent="0.3">
      <c r="B182" s="4" t="s">
        <v>76</v>
      </c>
      <c r="D182" s="16" t="s">
        <v>5</v>
      </c>
      <c r="E182" s="22"/>
      <c r="F182" s="2"/>
    </row>
    <row r="183" spans="1:6" x14ac:dyDescent="0.25">
      <c r="D183" s="15"/>
      <c r="E183" s="22"/>
      <c r="F183" s="2"/>
    </row>
    <row r="184" spans="1:6" x14ac:dyDescent="0.25">
      <c r="A184" s="40">
        <v>1</v>
      </c>
      <c r="B184" s="7" t="s">
        <v>46</v>
      </c>
      <c r="C184" s="10"/>
      <c r="D184" s="14">
        <v>250</v>
      </c>
      <c r="E184" s="18">
        <f t="shared" si="6"/>
        <v>2.5</v>
      </c>
      <c r="F184" s="2">
        <v>37.5</v>
      </c>
    </row>
    <row r="185" spans="1:6" x14ac:dyDescent="0.25">
      <c r="A185" s="40">
        <v>2</v>
      </c>
      <c r="B185" s="7" t="s">
        <v>77</v>
      </c>
      <c r="C185" s="10"/>
      <c r="D185" s="14">
        <v>50</v>
      </c>
      <c r="E185" s="18">
        <f t="shared" si="6"/>
        <v>0.5</v>
      </c>
      <c r="F185" s="2"/>
    </row>
    <row r="186" spans="1:6" x14ac:dyDescent="0.25">
      <c r="A186" s="40">
        <v>3</v>
      </c>
      <c r="B186" s="7" t="s">
        <v>53</v>
      </c>
      <c r="C186" s="10"/>
      <c r="D186" s="14">
        <v>100</v>
      </c>
      <c r="E186" s="18">
        <f t="shared" si="6"/>
        <v>1</v>
      </c>
      <c r="F186" s="2"/>
    </row>
    <row r="187" spans="1:6" x14ac:dyDescent="0.25">
      <c r="A187" s="40">
        <v>5</v>
      </c>
      <c r="B187" s="7" t="s">
        <v>10</v>
      </c>
      <c r="C187" s="10"/>
      <c r="D187" s="14">
        <v>150</v>
      </c>
      <c r="E187" s="18">
        <f t="shared" si="6"/>
        <v>1.5</v>
      </c>
      <c r="F187" s="2"/>
    </row>
    <row r="188" spans="1:6" x14ac:dyDescent="0.25">
      <c r="A188" s="40">
        <v>6</v>
      </c>
      <c r="B188" s="7" t="s">
        <v>78</v>
      </c>
      <c r="C188" s="10"/>
      <c r="D188" s="14">
        <v>300</v>
      </c>
      <c r="E188" s="18">
        <f t="shared" si="6"/>
        <v>3</v>
      </c>
      <c r="F188" s="2"/>
    </row>
    <row r="189" spans="1:6" x14ac:dyDescent="0.25">
      <c r="A189" s="40">
        <v>7</v>
      </c>
      <c r="B189" s="7" t="s">
        <v>11</v>
      </c>
      <c r="C189" s="10"/>
      <c r="D189" s="14">
        <v>200</v>
      </c>
      <c r="E189" s="18">
        <f t="shared" si="6"/>
        <v>2</v>
      </c>
      <c r="F189" s="2"/>
    </row>
    <row r="190" spans="1:6" x14ac:dyDescent="0.25">
      <c r="A190" s="40">
        <v>8</v>
      </c>
      <c r="B190" s="7" t="s">
        <v>41</v>
      </c>
      <c r="C190" s="10"/>
      <c r="D190" s="14">
        <v>50</v>
      </c>
      <c r="E190" s="18">
        <f t="shared" si="6"/>
        <v>0.5</v>
      </c>
      <c r="F190" s="2"/>
    </row>
    <row r="191" spans="1:6" x14ac:dyDescent="0.25">
      <c r="A191" s="40">
        <v>9</v>
      </c>
      <c r="B191" s="7" t="s">
        <v>18</v>
      </c>
      <c r="C191" s="10"/>
      <c r="D191" s="14">
        <v>15</v>
      </c>
      <c r="E191" s="18">
        <f t="shared" si="6"/>
        <v>0.15</v>
      </c>
      <c r="F191" s="2"/>
    </row>
    <row r="192" spans="1:6" x14ac:dyDescent="0.25">
      <c r="A192" s="40">
        <v>10</v>
      </c>
      <c r="B192" s="7" t="s">
        <v>19</v>
      </c>
      <c r="C192" s="10"/>
      <c r="D192" s="14">
        <v>30</v>
      </c>
      <c r="E192" s="18">
        <f t="shared" si="6"/>
        <v>0.3</v>
      </c>
      <c r="F192" s="2"/>
    </row>
    <row r="193" spans="1:6" x14ac:dyDescent="0.25">
      <c r="A193" s="40">
        <v>11</v>
      </c>
      <c r="B193" s="7" t="s">
        <v>36</v>
      </c>
      <c r="C193" s="10"/>
      <c r="D193" s="14">
        <v>30</v>
      </c>
      <c r="E193" s="18">
        <f t="shared" si="6"/>
        <v>0.3</v>
      </c>
      <c r="F193" s="2"/>
    </row>
    <row r="194" spans="1:6" x14ac:dyDescent="0.25">
      <c r="A194" s="40">
        <v>12</v>
      </c>
      <c r="B194" s="7" t="s">
        <v>21</v>
      </c>
      <c r="C194" s="10"/>
      <c r="D194" s="14">
        <v>10</v>
      </c>
      <c r="E194" s="18">
        <f t="shared" si="6"/>
        <v>0.1</v>
      </c>
      <c r="F194" s="2"/>
    </row>
    <row r="195" spans="1:6" x14ac:dyDescent="0.25">
      <c r="A195" s="40">
        <v>13</v>
      </c>
      <c r="B195" s="7" t="s">
        <v>49</v>
      </c>
      <c r="C195" s="10"/>
      <c r="D195" s="14">
        <v>10</v>
      </c>
      <c r="E195" s="18">
        <f t="shared" si="6"/>
        <v>0.1</v>
      </c>
      <c r="F195" s="2"/>
    </row>
    <row r="196" spans="1:6" x14ac:dyDescent="0.25">
      <c r="D196" s="15"/>
      <c r="E196" s="22"/>
      <c r="F196" s="2"/>
    </row>
    <row r="197" spans="1:6" x14ac:dyDescent="0.25">
      <c r="D197" s="15"/>
      <c r="E197" s="22"/>
      <c r="F197" s="2"/>
    </row>
    <row r="198" spans="1:6" ht="37.5" x14ac:dyDescent="0.3">
      <c r="B198" s="4" t="s">
        <v>79</v>
      </c>
      <c r="D198" s="16" t="s">
        <v>5</v>
      </c>
      <c r="E198" s="22"/>
      <c r="F198" s="2"/>
    </row>
    <row r="199" spans="1:6" x14ac:dyDescent="0.25">
      <c r="D199" s="15"/>
      <c r="E199" s="22"/>
      <c r="F199" s="2"/>
    </row>
    <row r="200" spans="1:6" x14ac:dyDescent="0.25">
      <c r="A200" s="40">
        <v>1</v>
      </c>
      <c r="B200" s="7" t="s">
        <v>80</v>
      </c>
      <c r="C200" s="10"/>
      <c r="D200" s="14">
        <v>250</v>
      </c>
      <c r="E200" s="18">
        <f t="shared" si="6"/>
        <v>2.5</v>
      </c>
      <c r="F200" s="2"/>
    </row>
    <row r="201" spans="1:6" x14ac:dyDescent="0.25">
      <c r="A201" s="40">
        <v>2</v>
      </c>
      <c r="B201" s="7" t="s">
        <v>81</v>
      </c>
      <c r="C201" s="10"/>
      <c r="D201" s="14">
        <v>100</v>
      </c>
      <c r="E201" s="18">
        <f t="shared" si="6"/>
        <v>1</v>
      </c>
      <c r="F201" s="2"/>
    </row>
    <row r="202" spans="1:6" x14ac:dyDescent="0.25">
      <c r="A202" s="40">
        <v>3</v>
      </c>
      <c r="B202" s="7" t="s">
        <v>82</v>
      </c>
      <c r="C202" s="10"/>
      <c r="D202" s="14">
        <v>300</v>
      </c>
      <c r="E202" s="18">
        <f t="shared" si="6"/>
        <v>3</v>
      </c>
      <c r="F202" s="2"/>
    </row>
    <row r="203" spans="1:6" x14ac:dyDescent="0.25">
      <c r="A203" s="40">
        <v>5</v>
      </c>
      <c r="B203" s="7" t="s">
        <v>83</v>
      </c>
      <c r="C203" s="10"/>
      <c r="D203" s="14">
        <v>30</v>
      </c>
      <c r="E203" s="18">
        <f t="shared" si="6"/>
        <v>0.3</v>
      </c>
      <c r="F203" s="2"/>
    </row>
    <row r="204" spans="1:6" x14ac:dyDescent="0.25">
      <c r="A204" s="40">
        <v>6</v>
      </c>
      <c r="B204" s="7" t="s">
        <v>11</v>
      </c>
      <c r="C204" s="10"/>
      <c r="D204" s="14">
        <v>200</v>
      </c>
      <c r="E204" s="18">
        <f t="shared" si="6"/>
        <v>2</v>
      </c>
      <c r="F204" s="2"/>
    </row>
    <row r="205" spans="1:6" x14ac:dyDescent="0.25">
      <c r="A205" s="40">
        <v>7</v>
      </c>
      <c r="B205" s="7" t="s">
        <v>10</v>
      </c>
      <c r="C205" s="10"/>
      <c r="D205" s="14">
        <v>150</v>
      </c>
      <c r="E205" s="18">
        <f t="shared" si="6"/>
        <v>1.5</v>
      </c>
      <c r="F205" s="2"/>
    </row>
    <row r="206" spans="1:6" x14ac:dyDescent="0.25">
      <c r="A206" s="40">
        <v>8</v>
      </c>
      <c r="B206" s="7" t="s">
        <v>41</v>
      </c>
      <c r="C206" s="10"/>
      <c r="D206" s="14">
        <v>50</v>
      </c>
      <c r="E206" s="18">
        <f t="shared" si="6"/>
        <v>0.5</v>
      </c>
      <c r="F206" s="2"/>
    </row>
    <row r="207" spans="1:6" x14ac:dyDescent="0.25">
      <c r="A207" s="40">
        <v>9</v>
      </c>
      <c r="B207" s="7" t="s">
        <v>12</v>
      </c>
      <c r="C207" s="10"/>
      <c r="D207" s="14">
        <v>10</v>
      </c>
      <c r="E207" s="18">
        <f t="shared" si="6"/>
        <v>0.1</v>
      </c>
      <c r="F207" s="2"/>
    </row>
    <row r="208" spans="1:6" x14ac:dyDescent="0.25">
      <c r="A208" s="40">
        <v>10</v>
      </c>
      <c r="B208" s="7" t="s">
        <v>3</v>
      </c>
      <c r="C208" s="10"/>
      <c r="D208" s="14">
        <v>10</v>
      </c>
      <c r="E208" s="18">
        <f t="shared" si="6"/>
        <v>0.1</v>
      </c>
      <c r="F208" s="2"/>
    </row>
    <row r="209" spans="1:6" x14ac:dyDescent="0.25">
      <c r="A209" s="40">
        <v>11</v>
      </c>
      <c r="B209" s="7" t="s">
        <v>84</v>
      </c>
      <c r="C209" s="10"/>
      <c r="D209" s="14">
        <v>100</v>
      </c>
      <c r="E209" s="18">
        <f t="shared" si="6"/>
        <v>1</v>
      </c>
      <c r="F209" s="2"/>
    </row>
    <row r="210" spans="1:6" x14ac:dyDescent="0.25">
      <c r="A210" s="40">
        <v>12</v>
      </c>
      <c r="B210" s="7" t="s">
        <v>85</v>
      </c>
      <c r="C210" s="10"/>
      <c r="D210" s="14">
        <v>50</v>
      </c>
      <c r="E210" s="18">
        <f t="shared" si="6"/>
        <v>0.5</v>
      </c>
      <c r="F210" s="2"/>
    </row>
    <row r="211" spans="1:6" x14ac:dyDescent="0.25">
      <c r="A211" s="40">
        <v>13</v>
      </c>
      <c r="B211" s="7" t="s">
        <v>18</v>
      </c>
      <c r="C211" s="10"/>
      <c r="D211" s="14">
        <v>15</v>
      </c>
      <c r="E211" s="18">
        <f t="shared" si="6"/>
        <v>0.15</v>
      </c>
      <c r="F211" s="2"/>
    </row>
    <row r="212" spans="1:6" x14ac:dyDescent="0.25">
      <c r="A212" s="40">
        <v>14</v>
      </c>
      <c r="B212" s="7" t="s">
        <v>86</v>
      </c>
      <c r="C212" s="10"/>
      <c r="D212" s="14">
        <v>30</v>
      </c>
      <c r="E212" s="18">
        <f t="shared" si="6"/>
        <v>0.3</v>
      </c>
      <c r="F212" s="2"/>
    </row>
    <row r="213" spans="1:6" x14ac:dyDescent="0.25">
      <c r="A213" s="40">
        <v>15</v>
      </c>
      <c r="B213" s="7" t="s">
        <v>49</v>
      </c>
      <c r="C213" s="10"/>
      <c r="D213" s="14">
        <v>5</v>
      </c>
      <c r="E213" s="18">
        <f t="shared" si="6"/>
        <v>0.05</v>
      </c>
      <c r="F213" s="2"/>
    </row>
    <row r="214" spans="1:6" x14ac:dyDescent="0.25">
      <c r="B214" s="7"/>
      <c r="C214" s="10"/>
      <c r="D214" s="14"/>
      <c r="E214" s="18"/>
      <c r="F214" s="2"/>
    </row>
    <row r="215" spans="1:6" x14ac:dyDescent="0.25">
      <c r="D215" s="15"/>
      <c r="E215" s="22"/>
      <c r="F215" s="2"/>
    </row>
    <row r="216" spans="1:6" ht="18.75" x14ac:dyDescent="0.3">
      <c r="B216" s="4" t="s">
        <v>87</v>
      </c>
      <c r="D216" s="16" t="s">
        <v>5</v>
      </c>
      <c r="E216" s="16" t="s">
        <v>6</v>
      </c>
      <c r="F216" s="2"/>
    </row>
    <row r="217" spans="1:6" x14ac:dyDescent="0.25">
      <c r="D217" s="15"/>
      <c r="E217" s="22"/>
      <c r="F217" s="2"/>
    </row>
    <row r="218" spans="1:6" x14ac:dyDescent="0.25">
      <c r="A218" s="40">
        <v>1</v>
      </c>
      <c r="B218" s="7" t="s">
        <v>88</v>
      </c>
      <c r="C218" s="10"/>
      <c r="D218" s="14">
        <v>100</v>
      </c>
      <c r="E218" s="18">
        <f t="shared" si="6"/>
        <v>1</v>
      </c>
      <c r="F218" s="2"/>
    </row>
    <row r="219" spans="1:6" x14ac:dyDescent="0.25">
      <c r="A219" s="40">
        <v>2</v>
      </c>
      <c r="B219" s="7" t="s">
        <v>89</v>
      </c>
      <c r="C219" s="10"/>
      <c r="D219" s="14">
        <v>150</v>
      </c>
      <c r="E219" s="18">
        <f t="shared" si="6"/>
        <v>1.5</v>
      </c>
      <c r="F219" s="2"/>
    </row>
    <row r="220" spans="1:6" x14ac:dyDescent="0.25">
      <c r="A220" s="40">
        <v>3</v>
      </c>
      <c r="B220" s="7" t="s">
        <v>84</v>
      </c>
      <c r="C220" s="10"/>
      <c r="D220" s="14">
        <v>100</v>
      </c>
      <c r="E220" s="18">
        <f t="shared" si="6"/>
        <v>1</v>
      </c>
      <c r="F220" s="2"/>
    </row>
    <row r="221" spans="1:6" x14ac:dyDescent="0.25">
      <c r="A221" s="40">
        <v>5</v>
      </c>
      <c r="B221" s="7" t="s">
        <v>85</v>
      </c>
      <c r="C221" s="10"/>
      <c r="D221" s="14">
        <v>50</v>
      </c>
      <c r="E221" s="18">
        <f t="shared" si="6"/>
        <v>0.5</v>
      </c>
      <c r="F221" s="2"/>
    </row>
    <row r="222" spans="1:6" x14ac:dyDescent="0.25">
      <c r="A222" s="40">
        <v>6</v>
      </c>
      <c r="B222" s="7" t="s">
        <v>17</v>
      </c>
      <c r="C222" s="10"/>
      <c r="D222" s="14">
        <v>250</v>
      </c>
      <c r="E222" s="18">
        <f t="shared" si="6"/>
        <v>2.5</v>
      </c>
      <c r="F222" s="2"/>
    </row>
    <row r="223" spans="1:6" x14ac:dyDescent="0.25">
      <c r="A223" s="40">
        <v>7</v>
      </c>
      <c r="B223" s="7" t="s">
        <v>34</v>
      </c>
      <c r="C223" s="10"/>
      <c r="D223" s="14">
        <v>50</v>
      </c>
      <c r="E223" s="18">
        <f t="shared" si="6"/>
        <v>0.5</v>
      </c>
      <c r="F223" s="2"/>
    </row>
    <row r="224" spans="1:6" x14ac:dyDescent="0.25">
      <c r="A224" s="40">
        <v>8</v>
      </c>
      <c r="B224" s="7" t="s">
        <v>18</v>
      </c>
      <c r="C224" s="10"/>
      <c r="D224" s="14">
        <v>15</v>
      </c>
      <c r="E224" s="18">
        <f t="shared" si="6"/>
        <v>0.15</v>
      </c>
      <c r="F224" s="2"/>
    </row>
    <row r="225" spans="1:6" x14ac:dyDescent="0.25">
      <c r="A225" s="40">
        <v>9</v>
      </c>
      <c r="B225" s="7" t="s">
        <v>86</v>
      </c>
      <c r="C225" s="10"/>
      <c r="D225" s="14">
        <v>30</v>
      </c>
      <c r="E225" s="18">
        <f t="shared" si="6"/>
        <v>0.3</v>
      </c>
      <c r="F225" s="2"/>
    </row>
    <row r="226" spans="1:6" x14ac:dyDescent="0.25">
      <c r="A226" s="40">
        <v>10</v>
      </c>
      <c r="B226" s="7" t="s">
        <v>90</v>
      </c>
      <c r="C226" s="10"/>
      <c r="D226" s="14">
        <v>300</v>
      </c>
      <c r="E226" s="18">
        <f t="shared" si="6"/>
        <v>3</v>
      </c>
      <c r="F226" s="2"/>
    </row>
    <row r="227" spans="1:6" x14ac:dyDescent="0.25">
      <c r="A227" s="40">
        <v>11</v>
      </c>
      <c r="B227" s="7" t="s">
        <v>91</v>
      </c>
      <c r="C227" s="10"/>
      <c r="D227" s="14">
        <v>100</v>
      </c>
      <c r="E227" s="18">
        <f t="shared" ref="E227:E252" si="7">(D227*10)/1000</f>
        <v>1</v>
      </c>
      <c r="F227" s="2"/>
    </row>
    <row r="228" spans="1:6" x14ac:dyDescent="0.25">
      <c r="A228" s="40">
        <v>12</v>
      </c>
      <c r="B228" s="7" t="s">
        <v>10</v>
      </c>
      <c r="C228" s="10"/>
      <c r="D228" s="14">
        <v>150</v>
      </c>
      <c r="E228" s="18">
        <f t="shared" si="7"/>
        <v>1.5</v>
      </c>
      <c r="F228" s="2"/>
    </row>
    <row r="229" spans="1:6" x14ac:dyDescent="0.25">
      <c r="A229" s="40">
        <v>13</v>
      </c>
      <c r="B229" s="7" t="s">
        <v>11</v>
      </c>
      <c r="C229" s="10"/>
      <c r="D229" s="14">
        <v>150</v>
      </c>
      <c r="E229" s="18">
        <f t="shared" si="7"/>
        <v>1.5</v>
      </c>
      <c r="F229" s="2"/>
    </row>
    <row r="230" spans="1:6" x14ac:dyDescent="0.25">
      <c r="A230" s="40">
        <v>14</v>
      </c>
      <c r="B230" s="7" t="s">
        <v>41</v>
      </c>
      <c r="C230" s="10"/>
      <c r="D230" s="14">
        <v>100</v>
      </c>
      <c r="E230" s="18">
        <f t="shared" si="7"/>
        <v>1</v>
      </c>
      <c r="F230" s="2"/>
    </row>
    <row r="231" spans="1:6" x14ac:dyDescent="0.25">
      <c r="A231" s="40">
        <v>15</v>
      </c>
      <c r="B231" s="7"/>
      <c r="C231" s="10"/>
      <c r="D231" s="14"/>
      <c r="E231" s="18"/>
      <c r="F231" s="2"/>
    </row>
    <row r="232" spans="1:6" x14ac:dyDescent="0.25">
      <c r="D232" s="15"/>
      <c r="E232" s="22"/>
      <c r="F232" s="2"/>
    </row>
    <row r="233" spans="1:6" ht="37.5" x14ac:dyDescent="0.3">
      <c r="B233" s="4" t="s">
        <v>92</v>
      </c>
      <c r="D233" s="16" t="s">
        <v>5</v>
      </c>
      <c r="E233" s="16" t="s">
        <v>6</v>
      </c>
      <c r="F233" s="2"/>
    </row>
    <row r="234" spans="1:6" x14ac:dyDescent="0.25">
      <c r="D234" s="15"/>
      <c r="E234" s="22"/>
      <c r="F234" s="2"/>
    </row>
    <row r="235" spans="1:6" x14ac:dyDescent="0.25">
      <c r="A235" s="40">
        <v>1</v>
      </c>
      <c r="B235" s="7" t="s">
        <v>46</v>
      </c>
      <c r="C235" s="10"/>
      <c r="D235" s="14">
        <v>150</v>
      </c>
      <c r="E235" s="18">
        <f t="shared" si="7"/>
        <v>1.5</v>
      </c>
      <c r="F235" s="2">
        <v>37.5</v>
      </c>
    </row>
    <row r="236" spans="1:6" x14ac:dyDescent="0.25">
      <c r="A236" s="40">
        <v>2</v>
      </c>
      <c r="B236" s="7" t="s">
        <v>93</v>
      </c>
      <c r="C236" s="10"/>
      <c r="D236" s="14">
        <v>100</v>
      </c>
      <c r="E236" s="18">
        <f t="shared" si="7"/>
        <v>1</v>
      </c>
      <c r="F236" s="2"/>
    </row>
    <row r="237" spans="1:6" x14ac:dyDescent="0.25">
      <c r="A237" s="40">
        <v>3</v>
      </c>
      <c r="B237" s="7" t="s">
        <v>10</v>
      </c>
      <c r="C237" s="10"/>
      <c r="D237" s="14">
        <v>150</v>
      </c>
      <c r="E237" s="18">
        <f t="shared" si="7"/>
        <v>1.5</v>
      </c>
      <c r="F237" s="2"/>
    </row>
    <row r="238" spans="1:6" x14ac:dyDescent="0.25">
      <c r="A238" s="40">
        <v>5</v>
      </c>
      <c r="B238" s="7" t="s">
        <v>53</v>
      </c>
      <c r="C238" s="10"/>
      <c r="D238" s="14">
        <v>200</v>
      </c>
      <c r="E238" s="18">
        <f t="shared" si="7"/>
        <v>2</v>
      </c>
      <c r="F238" s="2"/>
    </row>
    <row r="239" spans="1:6" x14ac:dyDescent="0.25">
      <c r="A239" s="40">
        <v>6</v>
      </c>
      <c r="B239" s="7" t="s">
        <v>94</v>
      </c>
      <c r="C239" s="10"/>
      <c r="D239" s="14">
        <v>300</v>
      </c>
      <c r="E239" s="18">
        <f t="shared" si="7"/>
        <v>3</v>
      </c>
      <c r="F239" s="2"/>
    </row>
    <row r="240" spans="1:6" x14ac:dyDescent="0.25">
      <c r="A240" s="40">
        <v>7</v>
      </c>
      <c r="B240" s="7" t="s">
        <v>77</v>
      </c>
      <c r="C240" s="10"/>
      <c r="D240" s="14">
        <v>50</v>
      </c>
      <c r="E240" s="18">
        <f t="shared" si="7"/>
        <v>0.5</v>
      </c>
      <c r="F240" s="2"/>
    </row>
    <row r="241" spans="1:6" x14ac:dyDescent="0.25">
      <c r="A241" s="40">
        <v>8</v>
      </c>
      <c r="B241" s="7" t="s">
        <v>95</v>
      </c>
      <c r="C241" s="10"/>
      <c r="D241" s="14">
        <v>30</v>
      </c>
      <c r="E241" s="18">
        <f t="shared" si="7"/>
        <v>0.3</v>
      </c>
      <c r="F241" s="2"/>
    </row>
    <row r="242" spans="1:6" x14ac:dyDescent="0.25">
      <c r="A242" s="40">
        <v>9</v>
      </c>
      <c r="B242" s="7" t="s">
        <v>41</v>
      </c>
      <c r="C242" s="10"/>
      <c r="D242" s="14">
        <v>100</v>
      </c>
      <c r="E242" s="18">
        <f t="shared" si="7"/>
        <v>1</v>
      </c>
      <c r="F242" s="2"/>
    </row>
    <row r="243" spans="1:6" x14ac:dyDescent="0.25">
      <c r="A243" s="40">
        <v>10</v>
      </c>
      <c r="B243" s="7" t="s">
        <v>36</v>
      </c>
      <c r="C243" s="10"/>
      <c r="D243" s="14">
        <v>20</v>
      </c>
      <c r="E243" s="18">
        <f t="shared" si="7"/>
        <v>0.2</v>
      </c>
      <c r="F243" s="2"/>
    </row>
    <row r="244" spans="1:6" x14ac:dyDescent="0.25">
      <c r="A244" s="40">
        <v>11</v>
      </c>
      <c r="B244" s="7" t="s">
        <v>96</v>
      </c>
      <c r="C244" s="10"/>
      <c r="D244" s="14">
        <v>50</v>
      </c>
      <c r="E244" s="18">
        <f t="shared" si="7"/>
        <v>0.5</v>
      </c>
      <c r="F244" s="2"/>
    </row>
    <row r="245" spans="1:6" x14ac:dyDescent="0.25">
      <c r="A245" s="40">
        <v>12</v>
      </c>
      <c r="B245" s="7" t="s">
        <v>97</v>
      </c>
      <c r="C245" s="10"/>
      <c r="D245" s="14">
        <v>50</v>
      </c>
      <c r="E245" s="18">
        <f t="shared" si="7"/>
        <v>0.5</v>
      </c>
      <c r="F245" s="2"/>
    </row>
    <row r="246" spans="1:6" x14ac:dyDescent="0.25">
      <c r="A246" s="40">
        <v>13</v>
      </c>
      <c r="B246" s="7" t="s">
        <v>98</v>
      </c>
      <c r="C246" s="10"/>
      <c r="D246" s="14">
        <v>50</v>
      </c>
      <c r="E246" s="18">
        <f t="shared" si="7"/>
        <v>0.5</v>
      </c>
      <c r="F246" s="2"/>
    </row>
    <row r="247" spans="1:6" x14ac:dyDescent="0.25">
      <c r="A247" s="40">
        <v>14</v>
      </c>
      <c r="B247" s="7" t="s">
        <v>18</v>
      </c>
      <c r="C247" s="10"/>
      <c r="D247" s="14">
        <v>15</v>
      </c>
      <c r="E247" s="18">
        <f t="shared" si="7"/>
        <v>0.15</v>
      </c>
      <c r="F247" s="2"/>
    </row>
    <row r="248" spans="1:6" x14ac:dyDescent="0.25">
      <c r="A248" s="40">
        <v>15</v>
      </c>
      <c r="B248" s="7" t="s">
        <v>86</v>
      </c>
      <c r="C248" s="10"/>
      <c r="D248" s="14">
        <v>30</v>
      </c>
      <c r="E248" s="18">
        <f t="shared" si="7"/>
        <v>0.3</v>
      </c>
      <c r="F248" s="2"/>
    </row>
    <row r="249" spans="1:6" x14ac:dyDescent="0.25">
      <c r="A249" s="40">
        <v>16</v>
      </c>
      <c r="B249" s="7" t="s">
        <v>49</v>
      </c>
      <c r="C249" s="10"/>
      <c r="D249" s="14">
        <v>20</v>
      </c>
      <c r="E249" s="18">
        <f t="shared" si="7"/>
        <v>0.2</v>
      </c>
      <c r="F249" s="2"/>
    </row>
    <row r="250" spans="1:6" x14ac:dyDescent="0.25">
      <c r="A250" s="40">
        <v>17</v>
      </c>
      <c r="B250" s="7" t="s">
        <v>11</v>
      </c>
      <c r="C250" s="10"/>
      <c r="D250" s="14">
        <v>200</v>
      </c>
      <c r="E250" s="18">
        <f t="shared" si="7"/>
        <v>2</v>
      </c>
      <c r="F250" s="2"/>
    </row>
    <row r="251" spans="1:6" x14ac:dyDescent="0.25">
      <c r="A251" s="40">
        <v>18</v>
      </c>
      <c r="B251" s="7" t="s">
        <v>99</v>
      </c>
      <c r="C251" s="10"/>
      <c r="D251" s="14">
        <v>10</v>
      </c>
      <c r="E251" s="18">
        <f t="shared" si="7"/>
        <v>0.1</v>
      </c>
      <c r="F251" s="2"/>
    </row>
    <row r="252" spans="1:6" x14ac:dyDescent="0.25">
      <c r="A252" s="40">
        <v>19</v>
      </c>
      <c r="B252" s="7" t="s">
        <v>57</v>
      </c>
      <c r="C252" s="10"/>
      <c r="D252" s="14">
        <v>10</v>
      </c>
      <c r="E252" s="18">
        <f t="shared" si="7"/>
        <v>0.1</v>
      </c>
      <c r="F252" s="2"/>
    </row>
  </sheetData>
  <pageMargins left="0.7" right="0.7" top="0.75" bottom="0.75" header="0.3" footer="0.3"/>
  <pageSetup scale="78" orientation="portrait" r:id="rId1"/>
  <rowBreaks count="4" manualBreakCount="4">
    <brk id="46" max="16383" man="1"/>
    <brk id="92" max="16383" man="1"/>
    <brk id="146" max="16383" man="1"/>
    <brk id="19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465"/>
  <sheetViews>
    <sheetView view="pageBreakPreview" topLeftCell="A455" zoomScale="95" zoomScaleNormal="115" zoomScaleSheetLayoutView="95" workbookViewId="0">
      <selection activeCell="M224" sqref="M224"/>
    </sheetView>
  </sheetViews>
  <sheetFormatPr defaultRowHeight="18.75" x14ac:dyDescent="0.3"/>
  <cols>
    <col min="1" max="1" width="9.140625" style="24"/>
    <col min="2" max="2" width="44.28515625" style="33" customWidth="1"/>
    <col min="3" max="3" width="10.140625" style="25" bestFit="1" customWidth="1"/>
    <col min="4" max="4" width="16" style="25" customWidth="1"/>
    <col min="5" max="5" width="16.7109375" style="39" customWidth="1"/>
    <col min="6" max="16384" width="9.140625" style="28"/>
  </cols>
  <sheetData>
    <row r="5" spans="1:5" ht="37.5" x14ac:dyDescent="0.3">
      <c r="B5" s="4" t="s">
        <v>100</v>
      </c>
      <c r="D5" s="26" t="s">
        <v>5</v>
      </c>
      <c r="E5" s="27" t="s">
        <v>6</v>
      </c>
    </row>
    <row r="7" spans="1:5" x14ac:dyDescent="0.3">
      <c r="A7" s="24">
        <v>1</v>
      </c>
      <c r="B7" s="29" t="s">
        <v>101</v>
      </c>
      <c r="C7" s="30"/>
      <c r="D7" s="30" t="s">
        <v>247</v>
      </c>
      <c r="E7" s="31" t="s">
        <v>271</v>
      </c>
    </row>
    <row r="8" spans="1:5" x14ac:dyDescent="0.3">
      <c r="A8" s="24">
        <v>2</v>
      </c>
      <c r="B8" s="29" t="s">
        <v>102</v>
      </c>
      <c r="C8" s="30"/>
      <c r="D8" s="30">
        <v>250</v>
      </c>
      <c r="E8" s="31">
        <f t="shared" ref="E8:E71" si="0">(D8*10)/1000</f>
        <v>2.5</v>
      </c>
    </row>
    <row r="9" spans="1:5" x14ac:dyDescent="0.3">
      <c r="A9" s="24">
        <v>3</v>
      </c>
      <c r="B9" s="29" t="s">
        <v>10</v>
      </c>
      <c r="C9" s="30"/>
      <c r="D9" s="30">
        <v>75</v>
      </c>
      <c r="E9" s="31">
        <f t="shared" si="0"/>
        <v>0.75</v>
      </c>
    </row>
    <row r="10" spans="1:5" x14ac:dyDescent="0.3">
      <c r="A10" s="24">
        <v>4</v>
      </c>
      <c r="B10" s="29" t="s">
        <v>103</v>
      </c>
      <c r="C10" s="30"/>
      <c r="D10" s="30">
        <v>300</v>
      </c>
      <c r="E10" s="31">
        <f t="shared" si="0"/>
        <v>3</v>
      </c>
    </row>
    <row r="11" spans="1:5" x14ac:dyDescent="0.3">
      <c r="A11" s="24">
        <v>5</v>
      </c>
      <c r="B11" s="29" t="s">
        <v>58</v>
      </c>
      <c r="C11" s="30"/>
      <c r="D11" s="30">
        <v>50</v>
      </c>
      <c r="E11" s="31">
        <f t="shared" si="0"/>
        <v>0.5</v>
      </c>
    </row>
    <row r="12" spans="1:5" x14ac:dyDescent="0.3">
      <c r="A12" s="24">
        <v>6</v>
      </c>
      <c r="B12" s="29" t="s">
        <v>53</v>
      </c>
      <c r="C12" s="30"/>
      <c r="D12" s="30" t="s">
        <v>249</v>
      </c>
      <c r="E12" s="31" t="s">
        <v>268</v>
      </c>
    </row>
    <row r="13" spans="1:5" x14ac:dyDescent="0.3">
      <c r="A13" s="24">
        <v>7</v>
      </c>
      <c r="B13" s="29" t="s">
        <v>104</v>
      </c>
      <c r="C13" s="30"/>
      <c r="D13" s="30">
        <v>50</v>
      </c>
      <c r="E13" s="31">
        <f t="shared" si="0"/>
        <v>0.5</v>
      </c>
    </row>
    <row r="14" spans="1:5" x14ac:dyDescent="0.3">
      <c r="A14" s="24">
        <v>8</v>
      </c>
      <c r="B14" s="29" t="s">
        <v>105</v>
      </c>
      <c r="C14" s="30"/>
      <c r="D14" s="30">
        <v>75</v>
      </c>
      <c r="E14" s="31">
        <f t="shared" si="0"/>
        <v>0.75</v>
      </c>
    </row>
    <row r="15" spans="1:5" x14ac:dyDescent="0.3">
      <c r="A15" s="24">
        <v>9</v>
      </c>
      <c r="B15" s="29" t="s">
        <v>106</v>
      </c>
      <c r="C15" s="30"/>
      <c r="D15" s="30">
        <v>50</v>
      </c>
      <c r="E15" s="31">
        <f t="shared" si="0"/>
        <v>0.5</v>
      </c>
    </row>
    <row r="16" spans="1:5" x14ac:dyDescent="0.3">
      <c r="A16" s="24">
        <v>10</v>
      </c>
      <c r="B16" s="29" t="s">
        <v>66</v>
      </c>
      <c r="C16" s="30"/>
      <c r="D16" s="30">
        <v>15</v>
      </c>
      <c r="E16" s="31">
        <f t="shared" si="0"/>
        <v>0.15</v>
      </c>
    </row>
    <row r="17" spans="1:5" x14ac:dyDescent="0.3">
      <c r="A17" s="24">
        <v>11</v>
      </c>
      <c r="B17" s="29" t="s">
        <v>86</v>
      </c>
      <c r="C17" s="30"/>
      <c r="D17" s="30">
        <v>15</v>
      </c>
      <c r="E17" s="31">
        <f t="shared" si="0"/>
        <v>0.15</v>
      </c>
    </row>
    <row r="18" spans="1:5" x14ac:dyDescent="0.3">
      <c r="A18" s="24">
        <v>12</v>
      </c>
      <c r="B18" s="29" t="s">
        <v>3</v>
      </c>
      <c r="C18" s="30"/>
      <c r="D18" s="30">
        <v>10</v>
      </c>
      <c r="E18" s="31">
        <f t="shared" si="0"/>
        <v>0.1</v>
      </c>
    </row>
    <row r="19" spans="1:5" x14ac:dyDescent="0.3">
      <c r="A19" s="24">
        <v>13</v>
      </c>
      <c r="B19" s="29" t="s">
        <v>12</v>
      </c>
      <c r="C19" s="30"/>
      <c r="D19" s="30">
        <v>10</v>
      </c>
      <c r="E19" s="32">
        <f t="shared" si="0"/>
        <v>0.1</v>
      </c>
    </row>
    <row r="20" spans="1:5" x14ac:dyDescent="0.3">
      <c r="E20" s="34"/>
    </row>
    <row r="21" spans="1:5" x14ac:dyDescent="0.3">
      <c r="E21" s="35"/>
    </row>
    <row r="22" spans="1:5" ht="37.5" x14ac:dyDescent="0.3">
      <c r="B22" s="4" t="s">
        <v>107</v>
      </c>
      <c r="D22" s="26" t="s">
        <v>5</v>
      </c>
      <c r="E22" s="26" t="s">
        <v>6</v>
      </c>
    </row>
    <row r="23" spans="1:5" x14ac:dyDescent="0.3">
      <c r="E23" s="36"/>
    </row>
    <row r="24" spans="1:5" ht="37.5" x14ac:dyDescent="0.3">
      <c r="A24" s="24">
        <v>1</v>
      </c>
      <c r="B24" s="29" t="s">
        <v>108</v>
      </c>
      <c r="C24" s="30"/>
      <c r="D24" s="30">
        <v>300</v>
      </c>
      <c r="E24" s="37">
        <f t="shared" si="0"/>
        <v>3</v>
      </c>
    </row>
    <row r="25" spans="1:5" x14ac:dyDescent="0.3">
      <c r="A25" s="24">
        <v>2</v>
      </c>
      <c r="B25" s="29" t="s">
        <v>103</v>
      </c>
      <c r="C25" s="30"/>
      <c r="D25" s="30">
        <v>300</v>
      </c>
      <c r="E25" s="31">
        <f t="shared" si="0"/>
        <v>3</v>
      </c>
    </row>
    <row r="26" spans="1:5" x14ac:dyDescent="0.3">
      <c r="A26" s="24">
        <v>3</v>
      </c>
      <c r="B26" s="29" t="s">
        <v>53</v>
      </c>
      <c r="C26" s="30"/>
      <c r="D26" s="30">
        <v>100</v>
      </c>
      <c r="E26" s="31">
        <f t="shared" si="0"/>
        <v>1</v>
      </c>
    </row>
    <row r="27" spans="1:5" x14ac:dyDescent="0.3">
      <c r="A27" s="24">
        <v>4</v>
      </c>
      <c r="B27" s="29" t="s">
        <v>109</v>
      </c>
      <c r="C27" s="30"/>
      <c r="D27" s="30">
        <v>100</v>
      </c>
      <c r="E27" s="31">
        <f t="shared" si="0"/>
        <v>1</v>
      </c>
    </row>
    <row r="28" spans="1:5" x14ac:dyDescent="0.3">
      <c r="A28" s="24">
        <v>5</v>
      </c>
      <c r="B28" s="29" t="s">
        <v>110</v>
      </c>
      <c r="C28" s="30"/>
      <c r="D28" s="30">
        <v>100</v>
      </c>
      <c r="E28" s="31">
        <f t="shared" si="0"/>
        <v>1</v>
      </c>
    </row>
    <row r="29" spans="1:5" x14ac:dyDescent="0.3">
      <c r="A29" s="24">
        <v>6</v>
      </c>
      <c r="B29" s="29" t="s">
        <v>111</v>
      </c>
      <c r="C29" s="30"/>
      <c r="D29" s="30">
        <v>50</v>
      </c>
      <c r="E29" s="31">
        <f t="shared" si="0"/>
        <v>0.5</v>
      </c>
    </row>
    <row r="30" spans="1:5" x14ac:dyDescent="0.3">
      <c r="A30" s="24">
        <v>7</v>
      </c>
      <c r="B30" s="29" t="s">
        <v>66</v>
      </c>
      <c r="C30" s="30"/>
      <c r="D30" s="30">
        <v>15</v>
      </c>
      <c r="E30" s="31">
        <f t="shared" si="0"/>
        <v>0.15</v>
      </c>
    </row>
    <row r="31" spans="1:5" x14ac:dyDescent="0.3">
      <c r="A31" s="24">
        <v>8</v>
      </c>
      <c r="B31" s="29" t="s">
        <v>121</v>
      </c>
      <c r="C31" s="30"/>
      <c r="D31" s="30">
        <v>5</v>
      </c>
      <c r="E31" s="31">
        <f t="shared" si="0"/>
        <v>0.05</v>
      </c>
    </row>
    <row r="32" spans="1:5" x14ac:dyDescent="0.3">
      <c r="A32" s="24">
        <v>9</v>
      </c>
      <c r="B32" s="29" t="s">
        <v>112</v>
      </c>
      <c r="C32" s="30"/>
      <c r="D32" s="30">
        <v>5</v>
      </c>
      <c r="E32" s="31">
        <f t="shared" si="0"/>
        <v>0.05</v>
      </c>
    </row>
    <row r="33" spans="1:5" x14ac:dyDescent="0.3">
      <c r="A33" s="24">
        <v>10</v>
      </c>
      <c r="B33" s="29" t="s">
        <v>113</v>
      </c>
      <c r="C33" s="30"/>
      <c r="D33" s="30">
        <v>5</v>
      </c>
      <c r="E33" s="31">
        <f t="shared" si="0"/>
        <v>0.05</v>
      </c>
    </row>
    <row r="34" spans="1:5" x14ac:dyDescent="0.3">
      <c r="A34" s="24">
        <v>11</v>
      </c>
      <c r="B34" s="29" t="s">
        <v>104</v>
      </c>
      <c r="C34" s="30"/>
      <c r="D34" s="30">
        <v>30</v>
      </c>
      <c r="E34" s="31">
        <f t="shared" si="0"/>
        <v>0.3</v>
      </c>
    </row>
    <row r="35" spans="1:5" x14ac:dyDescent="0.3">
      <c r="A35" s="24">
        <v>12</v>
      </c>
      <c r="B35" s="29" t="s">
        <v>114</v>
      </c>
      <c r="C35" s="30"/>
      <c r="D35" s="30">
        <v>30</v>
      </c>
      <c r="E35" s="31">
        <f t="shared" si="0"/>
        <v>0.3</v>
      </c>
    </row>
    <row r="36" spans="1:5" x14ac:dyDescent="0.3">
      <c r="B36" s="29"/>
      <c r="C36" s="30"/>
      <c r="D36" s="30"/>
      <c r="E36" s="32"/>
    </row>
    <row r="37" spans="1:5" x14ac:dyDescent="0.3">
      <c r="E37" s="34"/>
    </row>
    <row r="38" spans="1:5" ht="37.5" x14ac:dyDescent="0.3">
      <c r="B38" s="4" t="s">
        <v>115</v>
      </c>
      <c r="D38" s="26" t="s">
        <v>5</v>
      </c>
      <c r="E38" s="26" t="s">
        <v>6</v>
      </c>
    </row>
    <row r="39" spans="1:5" x14ac:dyDescent="0.3">
      <c r="E39" s="36"/>
    </row>
    <row r="40" spans="1:5" x14ac:dyDescent="0.3">
      <c r="A40" s="24">
        <v>1</v>
      </c>
      <c r="B40" s="29" t="s">
        <v>116</v>
      </c>
      <c r="C40" s="30"/>
      <c r="D40" s="30">
        <v>300</v>
      </c>
      <c r="E40" s="37">
        <f t="shared" si="0"/>
        <v>3</v>
      </c>
    </row>
    <row r="41" spans="1:5" x14ac:dyDescent="0.3">
      <c r="A41" s="24">
        <v>2</v>
      </c>
      <c r="B41" s="29" t="s">
        <v>66</v>
      </c>
      <c r="C41" s="30"/>
      <c r="D41" s="30">
        <v>15</v>
      </c>
      <c r="E41" s="31">
        <f t="shared" si="0"/>
        <v>0.15</v>
      </c>
    </row>
    <row r="42" spans="1:5" x14ac:dyDescent="0.3">
      <c r="A42" s="24">
        <v>3</v>
      </c>
      <c r="B42" s="29" t="s">
        <v>86</v>
      </c>
      <c r="C42" s="30"/>
      <c r="D42" s="30">
        <v>30</v>
      </c>
      <c r="E42" s="31">
        <f t="shared" si="0"/>
        <v>0.3</v>
      </c>
    </row>
    <row r="43" spans="1:5" x14ac:dyDescent="0.3">
      <c r="A43" s="24">
        <v>4</v>
      </c>
      <c r="B43" s="29" t="s">
        <v>117</v>
      </c>
      <c r="C43" s="30"/>
      <c r="D43" s="30">
        <v>30</v>
      </c>
      <c r="E43" s="31">
        <f t="shared" si="0"/>
        <v>0.3</v>
      </c>
    </row>
    <row r="44" spans="1:5" x14ac:dyDescent="0.3">
      <c r="A44" s="24">
        <v>5</v>
      </c>
      <c r="B44" s="29" t="s">
        <v>99</v>
      </c>
      <c r="C44" s="30"/>
      <c r="D44" s="30">
        <v>5</v>
      </c>
      <c r="E44" s="31">
        <f t="shared" si="0"/>
        <v>0.05</v>
      </c>
    </row>
    <row r="45" spans="1:5" x14ac:dyDescent="0.3">
      <c r="A45" s="24">
        <v>6</v>
      </c>
      <c r="B45" s="29" t="s">
        <v>12</v>
      </c>
      <c r="C45" s="30"/>
      <c r="D45" s="30">
        <v>10</v>
      </c>
      <c r="E45" s="31">
        <f t="shared" si="0"/>
        <v>0.1</v>
      </c>
    </row>
    <row r="46" spans="1:5" x14ac:dyDescent="0.3">
      <c r="A46" s="24">
        <v>7</v>
      </c>
      <c r="B46" s="29" t="s">
        <v>118</v>
      </c>
      <c r="C46" s="30"/>
      <c r="D46" s="30">
        <v>300</v>
      </c>
      <c r="E46" s="31">
        <f t="shared" si="0"/>
        <v>3</v>
      </c>
    </row>
    <row r="47" spans="1:5" x14ac:dyDescent="0.3">
      <c r="A47" s="24">
        <v>8</v>
      </c>
      <c r="B47" s="29" t="s">
        <v>119</v>
      </c>
      <c r="C47" s="30"/>
      <c r="D47" s="30">
        <v>7</v>
      </c>
      <c r="E47" s="31">
        <f t="shared" si="0"/>
        <v>7.0000000000000007E-2</v>
      </c>
    </row>
    <row r="48" spans="1:5" x14ac:dyDescent="0.3">
      <c r="A48" s="24">
        <v>9</v>
      </c>
      <c r="B48" s="29" t="s">
        <v>53</v>
      </c>
      <c r="C48" s="30"/>
      <c r="D48" s="30" t="s">
        <v>249</v>
      </c>
      <c r="E48" s="31" t="s">
        <v>268</v>
      </c>
    </row>
    <row r="49" spans="1:5" x14ac:dyDescent="0.3">
      <c r="A49" s="24">
        <v>10</v>
      </c>
      <c r="B49" s="29" t="s">
        <v>120</v>
      </c>
      <c r="C49" s="30"/>
      <c r="D49" s="30">
        <v>5</v>
      </c>
      <c r="E49" s="31">
        <f t="shared" si="0"/>
        <v>0.05</v>
      </c>
    </row>
    <row r="50" spans="1:5" x14ac:dyDescent="0.3">
      <c r="A50" s="24">
        <v>11</v>
      </c>
      <c r="B50" s="29" t="s">
        <v>122</v>
      </c>
      <c r="C50" s="30"/>
      <c r="D50" s="30">
        <v>5</v>
      </c>
      <c r="E50" s="31">
        <f t="shared" si="0"/>
        <v>0.05</v>
      </c>
    </row>
    <row r="51" spans="1:5" x14ac:dyDescent="0.3">
      <c r="B51" s="29"/>
      <c r="C51" s="30"/>
      <c r="D51" s="30"/>
      <c r="E51" s="32"/>
    </row>
    <row r="52" spans="1:5" x14ac:dyDescent="0.3">
      <c r="E52" s="34"/>
    </row>
    <row r="53" spans="1:5" ht="37.5" x14ac:dyDescent="0.3">
      <c r="B53" s="4" t="s">
        <v>123</v>
      </c>
      <c r="D53" s="26" t="s">
        <v>5</v>
      </c>
      <c r="E53" s="26" t="s">
        <v>6</v>
      </c>
    </row>
    <row r="54" spans="1:5" x14ac:dyDescent="0.3">
      <c r="E54" s="35"/>
    </row>
    <row r="55" spans="1:5" x14ac:dyDescent="0.3">
      <c r="E55" s="36"/>
    </row>
    <row r="56" spans="1:5" x14ac:dyDescent="0.3">
      <c r="A56" s="24">
        <v>1</v>
      </c>
      <c r="B56" s="29" t="s">
        <v>124</v>
      </c>
      <c r="C56" s="30"/>
      <c r="D56" s="30">
        <v>300</v>
      </c>
      <c r="E56" s="37">
        <f t="shared" si="0"/>
        <v>3</v>
      </c>
    </row>
    <row r="57" spans="1:5" x14ac:dyDescent="0.3">
      <c r="A57" s="24">
        <v>2</v>
      </c>
      <c r="B57" s="29" t="s">
        <v>125</v>
      </c>
      <c r="C57" s="30"/>
      <c r="D57" s="30">
        <v>30</v>
      </c>
      <c r="E57" s="31">
        <f t="shared" si="0"/>
        <v>0.3</v>
      </c>
    </row>
    <row r="58" spans="1:5" x14ac:dyDescent="0.3">
      <c r="A58" s="24">
        <v>3</v>
      </c>
      <c r="B58" s="29" t="s">
        <v>63</v>
      </c>
      <c r="C58" s="30"/>
      <c r="D58" s="30">
        <v>75</v>
      </c>
      <c r="E58" s="31">
        <f t="shared" si="0"/>
        <v>0.75</v>
      </c>
    </row>
    <row r="59" spans="1:5" x14ac:dyDescent="0.3">
      <c r="A59" s="24">
        <v>4</v>
      </c>
      <c r="B59" s="29" t="s">
        <v>10</v>
      </c>
      <c r="C59" s="30"/>
      <c r="D59" s="30">
        <v>75</v>
      </c>
      <c r="E59" s="31">
        <f t="shared" si="0"/>
        <v>0.75</v>
      </c>
    </row>
    <row r="60" spans="1:5" x14ac:dyDescent="0.3">
      <c r="A60" s="24">
        <v>5</v>
      </c>
      <c r="B60" s="29" t="s">
        <v>126</v>
      </c>
      <c r="C60" s="30"/>
      <c r="D60" s="30" t="s">
        <v>250</v>
      </c>
      <c r="E60" s="31" t="s">
        <v>269</v>
      </c>
    </row>
    <row r="61" spans="1:5" x14ac:dyDescent="0.3">
      <c r="A61" s="24">
        <v>6</v>
      </c>
      <c r="B61" s="29" t="s">
        <v>110</v>
      </c>
      <c r="C61" s="30"/>
      <c r="D61" s="30">
        <v>50</v>
      </c>
      <c r="E61" s="31">
        <f t="shared" si="0"/>
        <v>0.5</v>
      </c>
    </row>
    <row r="62" spans="1:5" x14ac:dyDescent="0.3">
      <c r="A62" s="24">
        <v>7</v>
      </c>
      <c r="B62" s="29" t="s">
        <v>251</v>
      </c>
      <c r="C62" s="30"/>
      <c r="D62" s="30">
        <v>50</v>
      </c>
      <c r="E62" s="31">
        <f t="shared" si="0"/>
        <v>0.5</v>
      </c>
    </row>
    <row r="63" spans="1:5" x14ac:dyDescent="0.3">
      <c r="A63" s="24">
        <v>8</v>
      </c>
      <c r="B63" s="29" t="s">
        <v>118</v>
      </c>
      <c r="C63" s="30"/>
      <c r="D63" s="30">
        <v>300</v>
      </c>
      <c r="E63" s="31">
        <f t="shared" si="0"/>
        <v>3</v>
      </c>
    </row>
    <row r="64" spans="1:5" x14ac:dyDescent="0.3">
      <c r="A64" s="24">
        <v>9</v>
      </c>
      <c r="B64" s="29" t="s">
        <v>127</v>
      </c>
      <c r="C64" s="30"/>
      <c r="D64" s="30">
        <v>100</v>
      </c>
      <c r="E64" s="31">
        <f t="shared" si="0"/>
        <v>1</v>
      </c>
    </row>
    <row r="65" spans="1:5" x14ac:dyDescent="0.3">
      <c r="A65" s="24">
        <v>10</v>
      </c>
      <c r="B65" s="29" t="s">
        <v>66</v>
      </c>
      <c r="C65" s="30"/>
      <c r="D65" s="30">
        <v>15</v>
      </c>
      <c r="E65" s="31">
        <f t="shared" si="0"/>
        <v>0.15</v>
      </c>
    </row>
    <row r="66" spans="1:5" x14ac:dyDescent="0.3">
      <c r="A66" s="24">
        <v>11</v>
      </c>
      <c r="B66" s="29"/>
      <c r="C66" s="30"/>
      <c r="D66" s="30"/>
      <c r="E66" s="32"/>
    </row>
    <row r="67" spans="1:5" x14ac:dyDescent="0.3">
      <c r="E67" s="34"/>
    </row>
    <row r="68" spans="1:5" ht="37.5" x14ac:dyDescent="0.3">
      <c r="B68" s="4" t="s">
        <v>128</v>
      </c>
      <c r="D68" s="26" t="s">
        <v>5</v>
      </c>
      <c r="E68" s="26" t="s">
        <v>6</v>
      </c>
    </row>
    <row r="69" spans="1:5" x14ac:dyDescent="0.3">
      <c r="E69" s="36"/>
    </row>
    <row r="70" spans="1:5" x14ac:dyDescent="0.3">
      <c r="A70" s="24">
        <v>1</v>
      </c>
      <c r="B70" s="29" t="s">
        <v>129</v>
      </c>
      <c r="C70" s="30"/>
      <c r="D70" s="30">
        <v>300</v>
      </c>
      <c r="E70" s="37">
        <f t="shared" si="0"/>
        <v>3</v>
      </c>
    </row>
    <row r="71" spans="1:5" x14ac:dyDescent="0.3">
      <c r="A71" s="24">
        <v>2</v>
      </c>
      <c r="B71" s="29" t="s">
        <v>63</v>
      </c>
      <c r="C71" s="30"/>
      <c r="D71" s="30">
        <v>75</v>
      </c>
      <c r="E71" s="31">
        <f t="shared" si="0"/>
        <v>0.75</v>
      </c>
    </row>
    <row r="72" spans="1:5" x14ac:dyDescent="0.3">
      <c r="A72" s="24">
        <v>3</v>
      </c>
      <c r="B72" s="29" t="s">
        <v>130</v>
      </c>
      <c r="C72" s="30"/>
      <c r="D72" s="30">
        <v>50</v>
      </c>
      <c r="E72" s="31">
        <f t="shared" ref="E72:E135" si="1">(D72*10)/1000</f>
        <v>0.5</v>
      </c>
    </row>
    <row r="73" spans="1:5" x14ac:dyDescent="0.3">
      <c r="A73" s="24">
        <v>4</v>
      </c>
      <c r="B73" s="29" t="s">
        <v>118</v>
      </c>
      <c r="C73" s="30"/>
      <c r="D73" s="30">
        <v>300</v>
      </c>
      <c r="E73" s="31">
        <f t="shared" si="1"/>
        <v>3</v>
      </c>
    </row>
    <row r="74" spans="1:5" x14ac:dyDescent="0.3">
      <c r="A74" s="24">
        <v>5</v>
      </c>
      <c r="B74" s="29" t="s">
        <v>10</v>
      </c>
      <c r="C74" s="30"/>
      <c r="D74" s="30">
        <v>75</v>
      </c>
      <c r="E74" s="31">
        <f t="shared" si="1"/>
        <v>0.75</v>
      </c>
    </row>
    <row r="75" spans="1:5" x14ac:dyDescent="0.3">
      <c r="A75" s="24">
        <v>6</v>
      </c>
      <c r="B75" s="29" t="s">
        <v>41</v>
      </c>
      <c r="C75" s="30"/>
      <c r="D75" s="30">
        <v>75</v>
      </c>
      <c r="E75" s="31">
        <f t="shared" si="1"/>
        <v>0.75</v>
      </c>
    </row>
    <row r="76" spans="1:5" x14ac:dyDescent="0.3">
      <c r="A76" s="24">
        <v>7</v>
      </c>
      <c r="B76" s="29" t="s">
        <v>110</v>
      </c>
      <c r="C76" s="30"/>
      <c r="D76" s="30">
        <v>50</v>
      </c>
      <c r="E76" s="31">
        <f t="shared" si="1"/>
        <v>0.5</v>
      </c>
    </row>
    <row r="77" spans="1:5" x14ac:dyDescent="0.3">
      <c r="A77" s="24">
        <v>8</v>
      </c>
      <c r="B77" s="29" t="s">
        <v>127</v>
      </c>
      <c r="C77" s="30"/>
      <c r="D77" s="30">
        <v>100</v>
      </c>
      <c r="E77" s="31">
        <f t="shared" si="1"/>
        <v>1</v>
      </c>
    </row>
    <row r="78" spans="1:5" x14ac:dyDescent="0.3">
      <c r="A78" s="24">
        <v>9</v>
      </c>
      <c r="B78" s="29" t="s">
        <v>131</v>
      </c>
      <c r="C78" s="30"/>
      <c r="D78" s="30" t="s">
        <v>252</v>
      </c>
      <c r="E78" s="31" t="s">
        <v>281</v>
      </c>
    </row>
    <row r="79" spans="1:5" x14ac:dyDescent="0.3">
      <c r="A79" s="24">
        <v>10</v>
      </c>
      <c r="B79" s="29" t="s">
        <v>133</v>
      </c>
      <c r="C79" s="30"/>
      <c r="D79" s="30">
        <v>30</v>
      </c>
      <c r="E79" s="31">
        <f t="shared" si="1"/>
        <v>0.3</v>
      </c>
    </row>
    <row r="80" spans="1:5" x14ac:dyDescent="0.3">
      <c r="A80" s="24">
        <v>11</v>
      </c>
      <c r="B80" s="29"/>
      <c r="C80" s="30"/>
      <c r="D80" s="30"/>
      <c r="E80" s="32"/>
    </row>
    <row r="81" spans="1:5" x14ac:dyDescent="0.3">
      <c r="E81" s="34"/>
    </row>
    <row r="82" spans="1:5" ht="37.5" x14ac:dyDescent="0.3">
      <c r="B82" s="4" t="s">
        <v>134</v>
      </c>
      <c r="D82" s="26" t="s">
        <v>5</v>
      </c>
      <c r="E82" s="26" t="s">
        <v>6</v>
      </c>
    </row>
    <row r="83" spans="1:5" x14ac:dyDescent="0.3">
      <c r="E83" s="36"/>
    </row>
    <row r="84" spans="1:5" x14ac:dyDescent="0.3">
      <c r="A84" s="24">
        <v>1</v>
      </c>
      <c r="B84" s="29" t="s">
        <v>135</v>
      </c>
      <c r="C84" s="30"/>
      <c r="D84" s="30">
        <v>200</v>
      </c>
      <c r="E84" s="37">
        <f t="shared" si="1"/>
        <v>2</v>
      </c>
    </row>
    <row r="85" spans="1:5" x14ac:dyDescent="0.3">
      <c r="A85" s="24">
        <v>2</v>
      </c>
      <c r="B85" s="29" t="s">
        <v>136</v>
      </c>
      <c r="C85" s="30"/>
      <c r="D85" s="30">
        <v>100</v>
      </c>
      <c r="E85" s="31">
        <f t="shared" si="1"/>
        <v>1</v>
      </c>
    </row>
    <row r="86" spans="1:5" x14ac:dyDescent="0.3">
      <c r="A86" s="24">
        <v>3</v>
      </c>
      <c r="B86" s="29" t="s">
        <v>137</v>
      </c>
      <c r="C86" s="30"/>
      <c r="D86" s="30">
        <v>75</v>
      </c>
      <c r="E86" s="31">
        <f t="shared" si="1"/>
        <v>0.75</v>
      </c>
    </row>
    <row r="87" spans="1:5" x14ac:dyDescent="0.3">
      <c r="A87" s="24">
        <v>4</v>
      </c>
      <c r="B87" s="29" t="s">
        <v>138</v>
      </c>
      <c r="C87" s="30"/>
      <c r="D87" s="30">
        <v>125</v>
      </c>
      <c r="E87" s="31">
        <f t="shared" si="1"/>
        <v>1.25</v>
      </c>
    </row>
    <row r="88" spans="1:5" x14ac:dyDescent="0.3">
      <c r="A88" s="24">
        <v>5</v>
      </c>
      <c r="B88" s="29" t="s">
        <v>141</v>
      </c>
      <c r="C88" s="30"/>
      <c r="D88" s="30">
        <v>30</v>
      </c>
      <c r="E88" s="31">
        <f t="shared" si="1"/>
        <v>0.3</v>
      </c>
    </row>
    <row r="89" spans="1:5" x14ac:dyDescent="0.3">
      <c r="A89" s="24">
        <v>6</v>
      </c>
      <c r="B89" s="29" t="s">
        <v>142</v>
      </c>
      <c r="C89" s="30"/>
      <c r="D89" s="30">
        <v>30</v>
      </c>
      <c r="E89" s="31">
        <f t="shared" si="1"/>
        <v>0.3</v>
      </c>
    </row>
    <row r="90" spans="1:5" x14ac:dyDescent="0.3">
      <c r="A90" s="24">
        <v>7</v>
      </c>
      <c r="B90" s="29" t="s">
        <v>111</v>
      </c>
      <c r="C90" s="30"/>
      <c r="D90" s="30">
        <v>50</v>
      </c>
      <c r="E90" s="31">
        <f t="shared" si="1"/>
        <v>0.5</v>
      </c>
    </row>
    <row r="91" spans="1:5" x14ac:dyDescent="0.3">
      <c r="A91" s="24">
        <v>8</v>
      </c>
      <c r="B91" s="29" t="s">
        <v>11</v>
      </c>
      <c r="C91" s="30"/>
      <c r="D91" s="30">
        <v>0.5</v>
      </c>
      <c r="E91" s="31">
        <f t="shared" si="1"/>
        <v>5.0000000000000001E-3</v>
      </c>
    </row>
    <row r="92" spans="1:5" x14ac:dyDescent="0.3">
      <c r="A92" s="24">
        <v>9</v>
      </c>
      <c r="B92" s="29" t="s">
        <v>10</v>
      </c>
      <c r="C92" s="30"/>
      <c r="D92" s="30">
        <v>150</v>
      </c>
      <c r="E92" s="31">
        <f t="shared" si="1"/>
        <v>1.5</v>
      </c>
    </row>
    <row r="93" spans="1:5" x14ac:dyDescent="0.3">
      <c r="A93" s="24">
        <v>10</v>
      </c>
      <c r="B93" s="29" t="s">
        <v>77</v>
      </c>
      <c r="C93" s="30"/>
      <c r="D93" s="30">
        <v>250</v>
      </c>
      <c r="E93" s="31">
        <f t="shared" si="1"/>
        <v>2.5</v>
      </c>
    </row>
    <row r="94" spans="1:5" x14ac:dyDescent="0.3">
      <c r="A94" s="24">
        <v>11</v>
      </c>
      <c r="B94" s="29" t="s">
        <v>143</v>
      </c>
      <c r="C94" s="30"/>
      <c r="D94" s="30">
        <v>100</v>
      </c>
      <c r="E94" s="31">
        <f t="shared" si="1"/>
        <v>1</v>
      </c>
    </row>
    <row r="95" spans="1:5" x14ac:dyDescent="0.3">
      <c r="A95" s="24">
        <v>12</v>
      </c>
      <c r="B95" s="29" t="s">
        <v>144</v>
      </c>
      <c r="C95" s="30"/>
      <c r="D95" s="30">
        <v>50</v>
      </c>
      <c r="E95" s="31">
        <f t="shared" si="1"/>
        <v>0.5</v>
      </c>
    </row>
    <row r="96" spans="1:5" x14ac:dyDescent="0.3">
      <c r="B96" s="29"/>
      <c r="C96" s="30"/>
      <c r="D96" s="30"/>
      <c r="E96" s="32"/>
    </row>
    <row r="97" spans="1:5" x14ac:dyDescent="0.3">
      <c r="E97" s="34"/>
    </row>
    <row r="98" spans="1:5" ht="37.5" x14ac:dyDescent="0.3">
      <c r="B98" s="4" t="s">
        <v>145</v>
      </c>
      <c r="E98" s="26" t="s">
        <v>6</v>
      </c>
    </row>
    <row r="99" spans="1:5" x14ac:dyDescent="0.3">
      <c r="E99" s="36"/>
    </row>
    <row r="100" spans="1:5" x14ac:dyDescent="0.3">
      <c r="A100" s="24">
        <v>1</v>
      </c>
      <c r="B100" s="29" t="s">
        <v>146</v>
      </c>
      <c r="C100" s="30"/>
      <c r="D100" s="30">
        <v>300</v>
      </c>
      <c r="E100" s="37">
        <f t="shared" si="1"/>
        <v>3</v>
      </c>
    </row>
    <row r="101" spans="1:5" x14ac:dyDescent="0.3">
      <c r="A101" s="24">
        <v>2</v>
      </c>
      <c r="B101" s="29" t="s">
        <v>147</v>
      </c>
      <c r="C101" s="30"/>
      <c r="D101" s="30" t="s">
        <v>254</v>
      </c>
      <c r="E101" s="31" t="s">
        <v>280</v>
      </c>
    </row>
    <row r="102" spans="1:5" x14ac:dyDescent="0.3">
      <c r="A102" s="24">
        <v>3</v>
      </c>
      <c r="B102" s="29" t="s">
        <v>46</v>
      </c>
      <c r="C102" s="30"/>
      <c r="D102" s="30">
        <v>250</v>
      </c>
      <c r="E102" s="31">
        <f t="shared" si="1"/>
        <v>2.5</v>
      </c>
    </row>
    <row r="103" spans="1:5" x14ac:dyDescent="0.3">
      <c r="A103" s="24">
        <v>4</v>
      </c>
      <c r="B103" s="29" t="s">
        <v>112</v>
      </c>
      <c r="C103" s="30"/>
      <c r="D103" s="30">
        <v>50</v>
      </c>
      <c r="E103" s="31">
        <f t="shared" si="1"/>
        <v>0.5</v>
      </c>
    </row>
    <row r="104" spans="1:5" x14ac:dyDescent="0.3">
      <c r="A104" s="24">
        <v>5</v>
      </c>
      <c r="B104" s="29" t="s">
        <v>3</v>
      </c>
      <c r="C104" s="30"/>
      <c r="D104" s="30">
        <v>5</v>
      </c>
      <c r="E104" s="31">
        <f t="shared" si="1"/>
        <v>0.05</v>
      </c>
    </row>
    <row r="105" spans="1:5" x14ac:dyDescent="0.3">
      <c r="A105" s="24">
        <v>6</v>
      </c>
      <c r="B105" s="29" t="s">
        <v>66</v>
      </c>
      <c r="C105" s="30"/>
      <c r="D105" s="30">
        <v>15</v>
      </c>
      <c r="E105" s="31">
        <f t="shared" si="1"/>
        <v>0.15</v>
      </c>
    </row>
    <row r="106" spans="1:5" x14ac:dyDescent="0.3">
      <c r="A106" s="24">
        <v>7</v>
      </c>
      <c r="B106" s="29" t="s">
        <v>10</v>
      </c>
      <c r="C106" s="30"/>
      <c r="D106" s="30">
        <v>75</v>
      </c>
      <c r="E106" s="31">
        <f t="shared" si="1"/>
        <v>0.75</v>
      </c>
    </row>
    <row r="107" spans="1:5" x14ac:dyDescent="0.3">
      <c r="A107" s="24">
        <v>8</v>
      </c>
      <c r="B107" s="29" t="s">
        <v>86</v>
      </c>
      <c r="C107" s="30"/>
      <c r="D107" s="30">
        <v>30</v>
      </c>
      <c r="E107" s="31">
        <f t="shared" si="1"/>
        <v>0.3</v>
      </c>
    </row>
    <row r="108" spans="1:5" x14ac:dyDescent="0.3">
      <c r="A108" s="24">
        <v>9</v>
      </c>
      <c r="B108" s="29" t="s">
        <v>148</v>
      </c>
      <c r="C108" s="30"/>
      <c r="D108" s="30">
        <v>100</v>
      </c>
      <c r="E108" s="31">
        <f t="shared" si="1"/>
        <v>1</v>
      </c>
    </row>
    <row r="109" spans="1:5" x14ac:dyDescent="0.3">
      <c r="B109" s="29"/>
      <c r="C109" s="30"/>
      <c r="D109" s="30"/>
      <c r="E109" s="32"/>
    </row>
    <row r="110" spans="1:5" x14ac:dyDescent="0.3">
      <c r="E110" s="34"/>
    </row>
    <row r="111" spans="1:5" ht="37.5" x14ac:dyDescent="0.3">
      <c r="B111" s="4" t="s">
        <v>149</v>
      </c>
      <c r="D111" s="26" t="s">
        <v>5</v>
      </c>
      <c r="E111" s="26" t="s">
        <v>6</v>
      </c>
    </row>
    <row r="112" spans="1:5" x14ac:dyDescent="0.3">
      <c r="E112" s="36"/>
    </row>
    <row r="113" spans="1:5" x14ac:dyDescent="0.3">
      <c r="A113" s="24">
        <v>1</v>
      </c>
      <c r="B113" s="29" t="s">
        <v>150</v>
      </c>
      <c r="C113" s="30"/>
      <c r="D113" s="30">
        <v>200</v>
      </c>
      <c r="E113" s="37">
        <f t="shared" si="1"/>
        <v>2</v>
      </c>
    </row>
    <row r="114" spans="1:5" x14ac:dyDescent="0.3">
      <c r="A114" s="24">
        <v>2</v>
      </c>
      <c r="B114" s="29" t="s">
        <v>99</v>
      </c>
      <c r="C114" s="30"/>
      <c r="D114" s="30">
        <v>5</v>
      </c>
      <c r="E114" s="31">
        <f t="shared" si="1"/>
        <v>0.05</v>
      </c>
    </row>
    <row r="115" spans="1:5" x14ac:dyDescent="0.3">
      <c r="A115" s="24">
        <v>3</v>
      </c>
      <c r="B115" s="29" t="s">
        <v>151</v>
      </c>
      <c r="C115" s="30"/>
      <c r="D115" s="30">
        <v>5</v>
      </c>
      <c r="E115" s="31">
        <f t="shared" si="1"/>
        <v>0.05</v>
      </c>
    </row>
    <row r="116" spans="1:5" x14ac:dyDescent="0.3">
      <c r="A116" s="24">
        <v>4</v>
      </c>
      <c r="B116" s="29" t="s">
        <v>152</v>
      </c>
      <c r="C116" s="30"/>
      <c r="D116" s="30">
        <v>20</v>
      </c>
      <c r="E116" s="31">
        <f t="shared" si="1"/>
        <v>0.2</v>
      </c>
    </row>
    <row r="117" spans="1:5" x14ac:dyDescent="0.3">
      <c r="A117" s="24">
        <v>5</v>
      </c>
      <c r="B117" s="29" t="s">
        <v>153</v>
      </c>
      <c r="C117" s="30"/>
      <c r="D117" s="30" t="s">
        <v>219</v>
      </c>
      <c r="E117" s="31" t="s">
        <v>274</v>
      </c>
    </row>
    <row r="118" spans="1:5" x14ac:dyDescent="0.3">
      <c r="A118" s="24">
        <v>6</v>
      </c>
      <c r="B118" s="29" t="s">
        <v>154</v>
      </c>
      <c r="C118" s="30"/>
      <c r="D118" s="30" t="s">
        <v>255</v>
      </c>
      <c r="E118" s="31" t="s">
        <v>279</v>
      </c>
    </row>
    <row r="119" spans="1:5" x14ac:dyDescent="0.3">
      <c r="A119" s="24">
        <v>7</v>
      </c>
      <c r="B119" s="29" t="s">
        <v>155</v>
      </c>
      <c r="C119" s="30"/>
      <c r="D119" s="30">
        <v>10</v>
      </c>
      <c r="E119" s="31">
        <f t="shared" si="1"/>
        <v>0.1</v>
      </c>
    </row>
    <row r="120" spans="1:5" x14ac:dyDescent="0.3">
      <c r="A120" s="24">
        <v>8</v>
      </c>
      <c r="B120" s="29" t="s">
        <v>156</v>
      </c>
      <c r="C120" s="30"/>
      <c r="D120" s="30">
        <v>15</v>
      </c>
      <c r="E120" s="31">
        <f t="shared" si="1"/>
        <v>0.15</v>
      </c>
    </row>
    <row r="121" spans="1:5" x14ac:dyDescent="0.3">
      <c r="A121" s="24">
        <v>9</v>
      </c>
      <c r="B121" s="29" t="s">
        <v>53</v>
      </c>
      <c r="C121" s="30"/>
      <c r="D121" s="30" t="s">
        <v>256</v>
      </c>
      <c r="E121" s="31" t="s">
        <v>273</v>
      </c>
    </row>
    <row r="122" spans="1:5" x14ac:dyDescent="0.3">
      <c r="A122" s="24">
        <v>10</v>
      </c>
      <c r="B122" s="29" t="s">
        <v>86</v>
      </c>
      <c r="C122" s="30"/>
      <c r="D122" s="30">
        <v>15</v>
      </c>
      <c r="E122" s="31">
        <f t="shared" si="1"/>
        <v>0.15</v>
      </c>
    </row>
    <row r="123" spans="1:5" x14ac:dyDescent="0.3">
      <c r="A123" s="24">
        <v>11</v>
      </c>
      <c r="B123" s="29" t="s">
        <v>10</v>
      </c>
      <c r="C123" s="30"/>
      <c r="D123" s="30">
        <v>75</v>
      </c>
      <c r="E123" s="31">
        <f t="shared" si="1"/>
        <v>0.75</v>
      </c>
    </row>
    <row r="124" spans="1:5" x14ac:dyDescent="0.3">
      <c r="A124" s="24">
        <v>12</v>
      </c>
      <c r="B124" s="29" t="s">
        <v>74</v>
      </c>
      <c r="C124" s="30"/>
      <c r="D124" s="30">
        <v>20</v>
      </c>
      <c r="E124" s="31">
        <f t="shared" si="1"/>
        <v>0.2</v>
      </c>
    </row>
    <row r="125" spans="1:5" x14ac:dyDescent="0.3">
      <c r="A125" s="24">
        <v>13</v>
      </c>
      <c r="B125" s="29" t="s">
        <v>63</v>
      </c>
      <c r="C125" s="30"/>
      <c r="D125" s="30">
        <v>40</v>
      </c>
      <c r="E125" s="31">
        <f t="shared" si="1"/>
        <v>0.4</v>
      </c>
    </row>
    <row r="126" spans="1:5" x14ac:dyDescent="0.3">
      <c r="A126" s="24">
        <v>14</v>
      </c>
      <c r="B126" s="29" t="s">
        <v>130</v>
      </c>
      <c r="C126" s="30"/>
      <c r="D126" s="30">
        <v>30</v>
      </c>
      <c r="E126" s="31">
        <f t="shared" si="1"/>
        <v>0.3</v>
      </c>
    </row>
    <row r="127" spans="1:5" x14ac:dyDescent="0.3">
      <c r="A127" s="24">
        <v>15</v>
      </c>
      <c r="B127" s="29" t="s">
        <v>157</v>
      </c>
      <c r="C127" s="30"/>
      <c r="D127" s="30">
        <v>125</v>
      </c>
      <c r="E127" s="31">
        <f t="shared" si="1"/>
        <v>1.25</v>
      </c>
    </row>
    <row r="128" spans="1:5" x14ac:dyDescent="0.3">
      <c r="A128" s="24">
        <v>16</v>
      </c>
      <c r="B128" s="29" t="s">
        <v>46</v>
      </c>
      <c r="C128" s="30"/>
      <c r="D128" s="30">
        <v>250</v>
      </c>
      <c r="E128" s="31">
        <f t="shared" si="1"/>
        <v>2.5</v>
      </c>
    </row>
    <row r="129" spans="1:5" x14ac:dyDescent="0.3">
      <c r="B129" s="29"/>
      <c r="C129" s="30"/>
      <c r="D129" s="30"/>
      <c r="E129" s="32">
        <f t="shared" si="1"/>
        <v>0</v>
      </c>
    </row>
    <row r="130" spans="1:5" x14ac:dyDescent="0.3">
      <c r="E130" s="34"/>
    </row>
    <row r="131" spans="1:5" ht="37.5" x14ac:dyDescent="0.3">
      <c r="B131" s="4" t="s">
        <v>158</v>
      </c>
      <c r="D131" s="26" t="s">
        <v>5</v>
      </c>
      <c r="E131" s="26" t="s">
        <v>6</v>
      </c>
    </row>
    <row r="132" spans="1:5" x14ac:dyDescent="0.3">
      <c r="E132" s="36"/>
    </row>
    <row r="133" spans="1:5" x14ac:dyDescent="0.3">
      <c r="A133" s="24">
        <v>1</v>
      </c>
      <c r="B133" s="29" t="s">
        <v>159</v>
      </c>
      <c r="C133" s="30"/>
      <c r="D133" s="30">
        <v>30</v>
      </c>
      <c r="E133" s="37">
        <f t="shared" si="1"/>
        <v>0.3</v>
      </c>
    </row>
    <row r="134" spans="1:5" x14ac:dyDescent="0.3">
      <c r="A134" s="24">
        <v>2</v>
      </c>
      <c r="B134" s="29" t="s">
        <v>73</v>
      </c>
      <c r="C134" s="30"/>
      <c r="D134" s="30">
        <v>15</v>
      </c>
      <c r="E134" s="31">
        <f t="shared" si="1"/>
        <v>0.15</v>
      </c>
    </row>
    <row r="135" spans="1:5" x14ac:dyDescent="0.3">
      <c r="A135" s="24">
        <v>3</v>
      </c>
      <c r="B135" s="29" t="s">
        <v>160</v>
      </c>
      <c r="C135" s="30"/>
      <c r="D135" s="30">
        <v>5</v>
      </c>
      <c r="E135" s="31">
        <f t="shared" si="1"/>
        <v>0.05</v>
      </c>
    </row>
    <row r="136" spans="1:5" x14ac:dyDescent="0.3">
      <c r="A136" s="24">
        <v>4</v>
      </c>
      <c r="B136" s="29" t="s">
        <v>161</v>
      </c>
      <c r="C136" s="30"/>
      <c r="D136" s="30">
        <v>20</v>
      </c>
      <c r="E136" s="31">
        <f t="shared" ref="E136:E199" si="2">(D136*10)/1000</f>
        <v>0.2</v>
      </c>
    </row>
    <row r="137" spans="1:5" x14ac:dyDescent="0.3">
      <c r="A137" s="24">
        <v>5</v>
      </c>
      <c r="B137" s="29" t="s">
        <v>162</v>
      </c>
      <c r="C137" s="30"/>
      <c r="D137" s="30">
        <v>30</v>
      </c>
      <c r="E137" s="31">
        <f t="shared" si="2"/>
        <v>0.3</v>
      </c>
    </row>
    <row r="138" spans="1:5" x14ac:dyDescent="0.3">
      <c r="A138" s="24">
        <v>6</v>
      </c>
      <c r="B138" s="29" t="s">
        <v>163</v>
      </c>
      <c r="C138" s="30"/>
      <c r="D138" s="30">
        <v>50</v>
      </c>
      <c r="E138" s="31">
        <f t="shared" si="2"/>
        <v>0.5</v>
      </c>
    </row>
    <row r="139" spans="1:5" x14ac:dyDescent="0.3">
      <c r="A139" s="24">
        <v>7</v>
      </c>
      <c r="B139" s="29" t="s">
        <v>146</v>
      </c>
      <c r="C139" s="30"/>
      <c r="D139" s="30">
        <v>300</v>
      </c>
      <c r="E139" s="31">
        <f t="shared" si="2"/>
        <v>3</v>
      </c>
    </row>
    <row r="140" spans="1:5" x14ac:dyDescent="0.3">
      <c r="A140" s="24">
        <v>8</v>
      </c>
      <c r="B140" s="29" t="s">
        <v>139</v>
      </c>
      <c r="C140" s="30"/>
      <c r="D140" s="30">
        <v>15</v>
      </c>
      <c r="E140" s="31">
        <f t="shared" si="2"/>
        <v>0.15</v>
      </c>
    </row>
    <row r="141" spans="1:5" x14ac:dyDescent="0.3">
      <c r="A141" s="24">
        <v>9</v>
      </c>
      <c r="B141" s="29" t="s">
        <v>3</v>
      </c>
      <c r="C141" s="30"/>
      <c r="D141" s="30">
        <v>5</v>
      </c>
      <c r="E141" s="31">
        <f t="shared" si="2"/>
        <v>0.05</v>
      </c>
    </row>
    <row r="142" spans="1:5" x14ac:dyDescent="0.3">
      <c r="A142" s="24">
        <v>10</v>
      </c>
      <c r="B142" s="29" t="s">
        <v>164</v>
      </c>
      <c r="C142" s="30"/>
      <c r="D142" s="30">
        <v>15</v>
      </c>
      <c r="E142" s="31">
        <f t="shared" si="2"/>
        <v>0.15</v>
      </c>
    </row>
    <row r="143" spans="1:5" x14ac:dyDescent="0.3">
      <c r="A143" s="24">
        <v>11</v>
      </c>
      <c r="B143" s="29" t="s">
        <v>60</v>
      </c>
      <c r="C143" s="30"/>
      <c r="D143" s="30">
        <v>250</v>
      </c>
      <c r="E143" s="31">
        <f t="shared" si="2"/>
        <v>2.5</v>
      </c>
    </row>
    <row r="144" spans="1:5" x14ac:dyDescent="0.3">
      <c r="A144" s="24">
        <v>12</v>
      </c>
      <c r="B144" s="29" t="s">
        <v>74</v>
      </c>
      <c r="C144" s="30"/>
      <c r="D144" s="30">
        <v>30</v>
      </c>
      <c r="E144" s="31">
        <f t="shared" si="2"/>
        <v>0.3</v>
      </c>
    </row>
    <row r="145" spans="1:5" x14ac:dyDescent="0.3">
      <c r="A145" s="24">
        <v>13</v>
      </c>
      <c r="B145" s="29" t="s">
        <v>10</v>
      </c>
      <c r="C145" s="30"/>
      <c r="D145" s="30">
        <v>75</v>
      </c>
      <c r="E145" s="31">
        <f t="shared" si="2"/>
        <v>0.75</v>
      </c>
    </row>
    <row r="146" spans="1:5" x14ac:dyDescent="0.3">
      <c r="A146" s="24">
        <v>14</v>
      </c>
      <c r="B146" s="29" t="s">
        <v>111</v>
      </c>
      <c r="C146" s="30"/>
      <c r="D146" s="30">
        <v>50</v>
      </c>
      <c r="E146" s="31">
        <f t="shared" si="2"/>
        <v>0.5</v>
      </c>
    </row>
    <row r="147" spans="1:5" x14ac:dyDescent="0.3">
      <c r="A147" s="24">
        <v>15</v>
      </c>
      <c r="B147" s="29" t="s">
        <v>63</v>
      </c>
      <c r="C147" s="30"/>
      <c r="D147" s="30">
        <v>75</v>
      </c>
      <c r="E147" s="31">
        <f t="shared" si="2"/>
        <v>0.75</v>
      </c>
    </row>
    <row r="148" spans="1:5" x14ac:dyDescent="0.3">
      <c r="A148" s="24">
        <v>16</v>
      </c>
      <c r="B148" s="29"/>
      <c r="C148" s="30"/>
      <c r="D148" s="30"/>
      <c r="E148" s="32"/>
    </row>
    <row r="149" spans="1:5" x14ac:dyDescent="0.3">
      <c r="E149" s="34"/>
    </row>
    <row r="150" spans="1:5" ht="37.5" x14ac:dyDescent="0.3">
      <c r="B150" s="4" t="s">
        <v>165</v>
      </c>
      <c r="D150" s="26" t="s">
        <v>5</v>
      </c>
      <c r="E150" s="26" t="s">
        <v>6</v>
      </c>
    </row>
    <row r="151" spans="1:5" x14ac:dyDescent="0.3">
      <c r="E151" s="36"/>
    </row>
    <row r="152" spans="1:5" x14ac:dyDescent="0.3">
      <c r="A152" s="24">
        <v>1</v>
      </c>
      <c r="B152" s="29" t="s">
        <v>166</v>
      </c>
      <c r="C152" s="30"/>
      <c r="D152" s="30">
        <v>300</v>
      </c>
      <c r="E152" s="37">
        <f t="shared" si="2"/>
        <v>3</v>
      </c>
    </row>
    <row r="153" spans="1:5" x14ac:dyDescent="0.3">
      <c r="A153" s="24">
        <v>2</v>
      </c>
      <c r="B153" s="29" t="s">
        <v>11</v>
      </c>
      <c r="C153" s="30"/>
      <c r="D153" s="30">
        <v>150</v>
      </c>
      <c r="E153" s="31">
        <f t="shared" si="2"/>
        <v>1.5</v>
      </c>
    </row>
    <row r="154" spans="1:5" x14ac:dyDescent="0.3">
      <c r="A154" s="24">
        <v>3</v>
      </c>
      <c r="B154" s="29" t="s">
        <v>10</v>
      </c>
      <c r="C154" s="30"/>
      <c r="D154" s="30">
        <v>75</v>
      </c>
      <c r="E154" s="31">
        <f t="shared" si="2"/>
        <v>0.75</v>
      </c>
    </row>
    <row r="155" spans="1:5" x14ac:dyDescent="0.3">
      <c r="A155" s="24">
        <v>4</v>
      </c>
      <c r="B155" s="29" t="s">
        <v>167</v>
      </c>
      <c r="C155" s="30"/>
      <c r="D155" s="30" t="s">
        <v>256</v>
      </c>
      <c r="E155" s="31" t="s">
        <v>273</v>
      </c>
    </row>
    <row r="156" spans="1:5" x14ac:dyDescent="0.3">
      <c r="A156" s="24">
        <v>5</v>
      </c>
      <c r="B156" s="29" t="s">
        <v>168</v>
      </c>
      <c r="C156" s="30"/>
      <c r="D156" s="30">
        <v>5</v>
      </c>
      <c r="E156" s="31">
        <f t="shared" si="2"/>
        <v>0.05</v>
      </c>
    </row>
    <row r="157" spans="1:5" x14ac:dyDescent="0.3">
      <c r="A157" s="24">
        <v>6</v>
      </c>
      <c r="B157" s="29" t="s">
        <v>132</v>
      </c>
      <c r="C157" s="30"/>
      <c r="D157" s="30">
        <v>5</v>
      </c>
      <c r="E157" s="31">
        <f t="shared" si="2"/>
        <v>0.05</v>
      </c>
    </row>
    <row r="158" spans="1:5" x14ac:dyDescent="0.3">
      <c r="A158" s="24">
        <v>7</v>
      </c>
      <c r="B158" s="29" t="s">
        <v>169</v>
      </c>
      <c r="C158" s="30"/>
      <c r="D158" s="30">
        <v>5</v>
      </c>
      <c r="E158" s="31">
        <f t="shared" si="2"/>
        <v>0.05</v>
      </c>
    </row>
    <row r="159" spans="1:5" x14ac:dyDescent="0.3">
      <c r="A159" s="24">
        <v>8</v>
      </c>
      <c r="B159" s="29" t="s">
        <v>170</v>
      </c>
      <c r="C159" s="30"/>
      <c r="D159" s="30">
        <v>10</v>
      </c>
      <c r="E159" s="31">
        <f t="shared" si="2"/>
        <v>0.1</v>
      </c>
    </row>
    <row r="160" spans="1:5" x14ac:dyDescent="0.3">
      <c r="A160" s="24">
        <v>9</v>
      </c>
      <c r="B160" s="29" t="s">
        <v>171</v>
      </c>
      <c r="C160" s="30"/>
      <c r="D160" s="30" t="s">
        <v>218</v>
      </c>
      <c r="E160" s="31" t="s">
        <v>272</v>
      </c>
    </row>
    <row r="161" spans="1:5" x14ac:dyDescent="0.3">
      <c r="A161" s="24">
        <v>10</v>
      </c>
      <c r="B161" s="29" t="s">
        <v>66</v>
      </c>
      <c r="C161" s="30"/>
      <c r="D161" s="30">
        <v>15</v>
      </c>
      <c r="E161" s="31">
        <f t="shared" si="2"/>
        <v>0.15</v>
      </c>
    </row>
    <row r="162" spans="1:5" x14ac:dyDescent="0.3">
      <c r="A162" s="24">
        <v>11</v>
      </c>
      <c r="B162" s="29" t="s">
        <v>172</v>
      </c>
      <c r="C162" s="30"/>
      <c r="D162" s="30">
        <v>50</v>
      </c>
      <c r="E162" s="31">
        <f t="shared" si="2"/>
        <v>0.5</v>
      </c>
    </row>
    <row r="163" spans="1:5" x14ac:dyDescent="0.3">
      <c r="A163" s="24">
        <v>12</v>
      </c>
      <c r="B163" s="29" t="s">
        <v>173</v>
      </c>
      <c r="C163" s="30"/>
      <c r="D163" s="30">
        <v>50</v>
      </c>
      <c r="E163" s="31">
        <f t="shared" si="2"/>
        <v>0.5</v>
      </c>
    </row>
    <row r="164" spans="1:5" x14ac:dyDescent="0.3">
      <c r="B164" s="29"/>
      <c r="C164" s="30"/>
      <c r="D164" s="30"/>
      <c r="E164" s="32">
        <f t="shared" si="2"/>
        <v>0</v>
      </c>
    </row>
    <row r="165" spans="1:5" x14ac:dyDescent="0.3">
      <c r="E165" s="34"/>
    </row>
    <row r="166" spans="1:5" ht="37.5" x14ac:dyDescent="0.3">
      <c r="B166" s="4" t="s">
        <v>257</v>
      </c>
      <c r="D166" s="26" t="s">
        <v>5</v>
      </c>
      <c r="E166" s="26" t="s">
        <v>6</v>
      </c>
    </row>
    <row r="167" spans="1:5" x14ac:dyDescent="0.3">
      <c r="E167" s="36"/>
    </row>
    <row r="168" spans="1:5" x14ac:dyDescent="0.3">
      <c r="A168" s="24">
        <v>1</v>
      </c>
      <c r="B168" s="29" t="s">
        <v>174</v>
      </c>
      <c r="C168" s="30"/>
      <c r="D168" s="30">
        <v>300</v>
      </c>
      <c r="E168" s="37">
        <f t="shared" si="2"/>
        <v>3</v>
      </c>
    </row>
    <row r="169" spans="1:5" x14ac:dyDescent="0.3">
      <c r="A169" s="24">
        <v>2</v>
      </c>
      <c r="B169" s="29" t="s">
        <v>175</v>
      </c>
      <c r="C169" s="30"/>
      <c r="D169" s="30" t="s">
        <v>249</v>
      </c>
      <c r="E169" s="31" t="s">
        <v>268</v>
      </c>
    </row>
    <row r="170" spans="1:5" x14ac:dyDescent="0.3">
      <c r="A170" s="24">
        <v>3</v>
      </c>
      <c r="B170" s="29" t="s">
        <v>10</v>
      </c>
      <c r="C170" s="30"/>
      <c r="D170" s="30">
        <v>75</v>
      </c>
      <c r="E170" s="31">
        <f t="shared" si="2"/>
        <v>0.75</v>
      </c>
    </row>
    <row r="171" spans="1:5" x14ac:dyDescent="0.3">
      <c r="A171" s="24">
        <v>4</v>
      </c>
      <c r="B171" s="29" t="s">
        <v>110</v>
      </c>
      <c r="C171" s="30"/>
      <c r="D171" s="30">
        <v>50</v>
      </c>
      <c r="E171" s="31">
        <f t="shared" si="2"/>
        <v>0.5</v>
      </c>
    </row>
    <row r="172" spans="1:5" x14ac:dyDescent="0.3">
      <c r="A172" s="24">
        <v>5</v>
      </c>
      <c r="B172" s="29" t="s">
        <v>66</v>
      </c>
      <c r="C172" s="30"/>
      <c r="D172" s="30">
        <v>15</v>
      </c>
      <c r="E172" s="31">
        <f t="shared" si="2"/>
        <v>0.15</v>
      </c>
    </row>
    <row r="173" spans="1:5" x14ac:dyDescent="0.3">
      <c r="A173" s="24">
        <v>6</v>
      </c>
      <c r="B173" s="29" t="s">
        <v>176</v>
      </c>
      <c r="C173" s="30"/>
      <c r="D173" s="30">
        <v>50</v>
      </c>
      <c r="E173" s="31">
        <f t="shared" si="2"/>
        <v>0.5</v>
      </c>
    </row>
    <row r="174" spans="1:5" x14ac:dyDescent="0.3">
      <c r="A174" s="24">
        <v>7</v>
      </c>
      <c r="B174" s="29" t="s">
        <v>177</v>
      </c>
      <c r="C174" s="30"/>
      <c r="D174" s="30" t="s">
        <v>249</v>
      </c>
      <c r="E174" s="31" t="s">
        <v>268</v>
      </c>
    </row>
    <row r="175" spans="1:5" x14ac:dyDescent="0.3">
      <c r="A175" s="24">
        <v>8</v>
      </c>
      <c r="B175" s="29" t="s">
        <v>46</v>
      </c>
      <c r="C175" s="30"/>
      <c r="D175" s="30">
        <v>250</v>
      </c>
      <c r="E175" s="31">
        <f t="shared" si="2"/>
        <v>2.5</v>
      </c>
    </row>
    <row r="176" spans="1:5" x14ac:dyDescent="0.3">
      <c r="A176" s="24">
        <v>9</v>
      </c>
      <c r="B176" s="29" t="s">
        <v>178</v>
      </c>
      <c r="C176" s="30"/>
      <c r="D176" s="30">
        <v>100</v>
      </c>
      <c r="E176" s="31" t="s">
        <v>268</v>
      </c>
    </row>
    <row r="177" spans="1:5" x14ac:dyDescent="0.3">
      <c r="A177" s="24">
        <v>10</v>
      </c>
      <c r="B177" s="29" t="s">
        <v>143</v>
      </c>
      <c r="C177" s="30"/>
      <c r="D177" s="30" t="s">
        <v>249</v>
      </c>
      <c r="E177" s="31" t="e">
        <f t="shared" si="2"/>
        <v>#VALUE!</v>
      </c>
    </row>
    <row r="178" spans="1:5" x14ac:dyDescent="0.3">
      <c r="A178" s="24">
        <v>11</v>
      </c>
      <c r="B178" s="29" t="s">
        <v>179</v>
      </c>
      <c r="C178" s="30"/>
      <c r="D178" s="30">
        <v>75</v>
      </c>
      <c r="E178" s="31">
        <f t="shared" si="2"/>
        <v>0.75</v>
      </c>
    </row>
    <row r="179" spans="1:5" x14ac:dyDescent="0.3">
      <c r="A179" s="24">
        <v>12</v>
      </c>
      <c r="B179" s="29" t="s">
        <v>180</v>
      </c>
      <c r="C179" s="30"/>
      <c r="D179" s="30"/>
      <c r="E179" s="31">
        <f t="shared" si="2"/>
        <v>0</v>
      </c>
    </row>
    <row r="180" spans="1:5" x14ac:dyDescent="0.3">
      <c r="B180" s="29"/>
      <c r="C180" s="30"/>
      <c r="D180" s="30"/>
      <c r="E180" s="32"/>
    </row>
    <row r="181" spans="1:5" x14ac:dyDescent="0.3">
      <c r="E181" s="34"/>
    </row>
    <row r="182" spans="1:5" ht="37.5" x14ac:dyDescent="0.3">
      <c r="B182" s="4" t="s">
        <v>184</v>
      </c>
      <c r="D182" s="26" t="s">
        <v>5</v>
      </c>
      <c r="E182" s="26" t="s">
        <v>6</v>
      </c>
    </row>
    <row r="183" spans="1:5" x14ac:dyDescent="0.3">
      <c r="E183" s="36"/>
    </row>
    <row r="184" spans="1:5" ht="27" customHeight="1" x14ac:dyDescent="0.3">
      <c r="A184" s="24">
        <v>1</v>
      </c>
      <c r="B184" s="29" t="s">
        <v>181</v>
      </c>
      <c r="C184" s="30"/>
      <c r="D184" s="30">
        <v>300</v>
      </c>
      <c r="E184" s="37">
        <f t="shared" si="2"/>
        <v>3</v>
      </c>
    </row>
    <row r="185" spans="1:5" x14ac:dyDescent="0.3">
      <c r="A185" s="24">
        <v>2</v>
      </c>
      <c r="B185" s="29" t="s">
        <v>10</v>
      </c>
      <c r="C185" s="30"/>
      <c r="D185" s="30">
        <v>150</v>
      </c>
      <c r="E185" s="31">
        <f t="shared" si="2"/>
        <v>1.5</v>
      </c>
    </row>
    <row r="186" spans="1:5" x14ac:dyDescent="0.3">
      <c r="A186" s="24">
        <v>3</v>
      </c>
      <c r="B186" s="29" t="s">
        <v>41</v>
      </c>
      <c r="C186" s="30"/>
      <c r="D186" s="30">
        <v>50</v>
      </c>
      <c r="E186" s="31">
        <f t="shared" si="2"/>
        <v>0.5</v>
      </c>
    </row>
    <row r="187" spans="1:5" x14ac:dyDescent="0.3">
      <c r="A187" s="24">
        <v>4</v>
      </c>
      <c r="B187" s="29" t="s">
        <v>182</v>
      </c>
      <c r="C187" s="30"/>
      <c r="D187" s="30" t="s">
        <v>253</v>
      </c>
      <c r="E187" s="31" t="s">
        <v>273</v>
      </c>
    </row>
    <row r="188" spans="1:5" x14ac:dyDescent="0.3">
      <c r="A188" s="24">
        <v>5</v>
      </c>
      <c r="B188" s="29" t="s">
        <v>117</v>
      </c>
      <c r="C188" s="30"/>
      <c r="D188" s="30">
        <v>50</v>
      </c>
      <c r="E188" s="31">
        <f t="shared" si="2"/>
        <v>0.5</v>
      </c>
    </row>
    <row r="189" spans="1:5" x14ac:dyDescent="0.3">
      <c r="A189" s="24">
        <v>6</v>
      </c>
      <c r="B189" s="29" t="s">
        <v>132</v>
      </c>
      <c r="C189" s="30"/>
      <c r="D189" s="30">
        <v>5</v>
      </c>
      <c r="E189" s="31">
        <f t="shared" si="2"/>
        <v>0.05</v>
      </c>
    </row>
    <row r="190" spans="1:5" x14ac:dyDescent="0.3">
      <c r="A190" s="24">
        <v>7</v>
      </c>
      <c r="B190" s="29" t="s">
        <v>183</v>
      </c>
      <c r="C190" s="30"/>
      <c r="D190" s="30">
        <v>2</v>
      </c>
      <c r="E190" s="31">
        <f t="shared" si="2"/>
        <v>0.02</v>
      </c>
    </row>
    <row r="191" spans="1:5" x14ac:dyDescent="0.3">
      <c r="A191" s="24">
        <v>8</v>
      </c>
      <c r="B191" s="29" t="s">
        <v>118</v>
      </c>
      <c r="C191" s="30"/>
      <c r="D191" s="30">
        <v>250</v>
      </c>
      <c r="E191" s="31">
        <f t="shared" si="2"/>
        <v>2.5</v>
      </c>
    </row>
    <row r="192" spans="1:5" x14ac:dyDescent="0.3">
      <c r="A192" s="24">
        <v>9</v>
      </c>
      <c r="B192" s="29" t="s">
        <v>185</v>
      </c>
      <c r="C192" s="30"/>
      <c r="D192" s="30">
        <v>50</v>
      </c>
      <c r="E192" s="31">
        <f t="shared" si="2"/>
        <v>0.5</v>
      </c>
    </row>
    <row r="193" spans="1:5" x14ac:dyDescent="0.3">
      <c r="A193" s="24">
        <v>10</v>
      </c>
      <c r="B193" s="29" t="s">
        <v>177</v>
      </c>
      <c r="C193" s="30"/>
      <c r="D193" s="30" t="s">
        <v>258</v>
      </c>
      <c r="E193" s="31" t="s">
        <v>268</v>
      </c>
    </row>
    <row r="194" spans="1:5" x14ac:dyDescent="0.3">
      <c r="A194" s="24">
        <v>11</v>
      </c>
      <c r="B194" s="29" t="s">
        <v>3</v>
      </c>
      <c r="C194" s="30"/>
      <c r="D194" s="30">
        <v>5</v>
      </c>
      <c r="E194" s="31">
        <f t="shared" si="2"/>
        <v>0.05</v>
      </c>
    </row>
    <row r="195" spans="1:5" x14ac:dyDescent="0.3">
      <c r="A195" s="24">
        <v>12</v>
      </c>
      <c r="B195" s="29"/>
      <c r="C195" s="30"/>
      <c r="D195" s="30"/>
      <c r="E195" s="32"/>
    </row>
    <row r="196" spans="1:5" x14ac:dyDescent="0.3">
      <c r="E196" s="34"/>
    </row>
    <row r="197" spans="1:5" ht="37.5" x14ac:dyDescent="0.3">
      <c r="B197" s="4" t="s">
        <v>186</v>
      </c>
      <c r="D197" s="26" t="s">
        <v>5</v>
      </c>
      <c r="E197" s="26" t="s">
        <v>6</v>
      </c>
    </row>
    <row r="198" spans="1:5" x14ac:dyDescent="0.3">
      <c r="E198" s="36"/>
    </row>
    <row r="199" spans="1:5" x14ac:dyDescent="0.3">
      <c r="A199" s="24">
        <v>1</v>
      </c>
      <c r="B199" s="29" t="s">
        <v>187</v>
      </c>
      <c r="C199" s="30"/>
      <c r="D199" s="30">
        <v>250</v>
      </c>
      <c r="E199" s="37">
        <f t="shared" si="2"/>
        <v>2.5</v>
      </c>
    </row>
    <row r="200" spans="1:5" x14ac:dyDescent="0.3">
      <c r="A200" s="24">
        <v>2</v>
      </c>
      <c r="B200" s="29" t="s">
        <v>10</v>
      </c>
      <c r="C200" s="30"/>
      <c r="D200" s="30">
        <v>75</v>
      </c>
      <c r="E200" s="31">
        <f t="shared" ref="E200:E263" si="3">(D200*10)/1000</f>
        <v>0.75</v>
      </c>
    </row>
    <row r="201" spans="1:5" x14ac:dyDescent="0.3">
      <c r="A201" s="24">
        <v>3</v>
      </c>
      <c r="B201" s="29" t="s">
        <v>63</v>
      </c>
      <c r="C201" s="30"/>
      <c r="D201" s="30">
        <v>75</v>
      </c>
      <c r="E201" s="31">
        <f t="shared" si="3"/>
        <v>0.75</v>
      </c>
    </row>
    <row r="202" spans="1:5" x14ac:dyDescent="0.3">
      <c r="A202" s="24">
        <v>4</v>
      </c>
      <c r="B202" s="29" t="s">
        <v>58</v>
      </c>
      <c r="C202" s="30"/>
      <c r="D202" s="30">
        <v>50</v>
      </c>
      <c r="E202" s="31">
        <f t="shared" si="3"/>
        <v>0.5</v>
      </c>
    </row>
    <row r="203" spans="1:5" x14ac:dyDescent="0.3">
      <c r="A203" s="24">
        <v>5</v>
      </c>
      <c r="B203" s="29" t="s">
        <v>73</v>
      </c>
      <c r="C203" s="30"/>
      <c r="D203" s="30" t="s">
        <v>259</v>
      </c>
      <c r="E203" s="31">
        <v>0.1</v>
      </c>
    </row>
    <row r="204" spans="1:5" x14ac:dyDescent="0.3">
      <c r="A204" s="24">
        <v>6</v>
      </c>
      <c r="B204" s="29" t="s">
        <v>75</v>
      </c>
      <c r="C204" s="30"/>
      <c r="D204" s="30">
        <v>50</v>
      </c>
      <c r="E204" s="31">
        <f t="shared" si="3"/>
        <v>0.5</v>
      </c>
    </row>
    <row r="205" spans="1:5" x14ac:dyDescent="0.3">
      <c r="A205" s="24">
        <v>7</v>
      </c>
      <c r="B205" s="29" t="s">
        <v>156</v>
      </c>
      <c r="C205" s="30"/>
      <c r="D205" s="30">
        <v>10</v>
      </c>
      <c r="E205" s="31">
        <f t="shared" si="3"/>
        <v>0.1</v>
      </c>
    </row>
    <row r="206" spans="1:5" x14ac:dyDescent="0.3">
      <c r="A206" s="24">
        <v>8</v>
      </c>
      <c r="B206" s="29" t="s">
        <v>3</v>
      </c>
      <c r="C206" s="30"/>
      <c r="D206" s="30">
        <v>10</v>
      </c>
      <c r="E206" s="31">
        <f t="shared" si="3"/>
        <v>0.1</v>
      </c>
    </row>
    <row r="207" spans="1:5" x14ac:dyDescent="0.3">
      <c r="A207" s="24">
        <v>9</v>
      </c>
      <c r="B207" s="29" t="s">
        <v>118</v>
      </c>
      <c r="C207" s="30"/>
      <c r="D207" s="30">
        <v>250</v>
      </c>
      <c r="E207" s="31">
        <f t="shared" si="3"/>
        <v>2.5</v>
      </c>
    </row>
    <row r="208" spans="1:5" x14ac:dyDescent="0.3">
      <c r="A208" s="24">
        <v>10</v>
      </c>
      <c r="B208" s="29" t="s">
        <v>185</v>
      </c>
      <c r="C208" s="30"/>
      <c r="D208" s="30">
        <v>50</v>
      </c>
      <c r="E208" s="31">
        <f t="shared" si="3"/>
        <v>0.5</v>
      </c>
    </row>
    <row r="209" spans="1:5" x14ac:dyDescent="0.3">
      <c r="A209" s="24">
        <v>11</v>
      </c>
      <c r="B209" s="29" t="s">
        <v>86</v>
      </c>
      <c r="C209" s="30"/>
      <c r="D209" s="30">
        <v>30</v>
      </c>
      <c r="E209" s="31">
        <f t="shared" si="3"/>
        <v>0.3</v>
      </c>
    </row>
    <row r="210" spans="1:5" x14ac:dyDescent="0.3">
      <c r="A210" s="24">
        <v>12</v>
      </c>
      <c r="B210" s="29" t="s">
        <v>66</v>
      </c>
      <c r="C210" s="30"/>
      <c r="D210" s="30">
        <v>15</v>
      </c>
      <c r="E210" s="31">
        <f t="shared" si="3"/>
        <v>0.15</v>
      </c>
    </row>
    <row r="211" spans="1:5" x14ac:dyDescent="0.3">
      <c r="B211" s="29"/>
      <c r="C211" s="30"/>
      <c r="D211" s="30"/>
      <c r="E211" s="32"/>
    </row>
    <row r="212" spans="1:5" x14ac:dyDescent="0.3">
      <c r="E212" s="34"/>
    </row>
    <row r="213" spans="1:5" ht="37.5" x14ac:dyDescent="0.3">
      <c r="B213" s="4" t="s">
        <v>188</v>
      </c>
      <c r="D213" s="26" t="s">
        <v>5</v>
      </c>
      <c r="E213" s="26" t="s">
        <v>6</v>
      </c>
    </row>
    <row r="214" spans="1:5" x14ac:dyDescent="0.3">
      <c r="E214" s="36"/>
    </row>
    <row r="215" spans="1:5" x14ac:dyDescent="0.3">
      <c r="A215" s="24">
        <v>1</v>
      </c>
      <c r="B215" s="29" t="s">
        <v>189</v>
      </c>
      <c r="C215" s="30"/>
      <c r="D215" s="30">
        <v>300</v>
      </c>
      <c r="E215" s="37">
        <f t="shared" si="3"/>
        <v>3</v>
      </c>
    </row>
    <row r="216" spans="1:5" x14ac:dyDescent="0.3">
      <c r="A216" s="24">
        <v>2</v>
      </c>
      <c r="B216" s="29" t="s">
        <v>190</v>
      </c>
      <c r="C216" s="30"/>
      <c r="D216" s="30">
        <v>300</v>
      </c>
      <c r="E216" s="31">
        <f t="shared" si="3"/>
        <v>3</v>
      </c>
    </row>
    <row r="217" spans="1:5" x14ac:dyDescent="0.3">
      <c r="A217" s="24">
        <v>3</v>
      </c>
      <c r="B217" s="29" t="s">
        <v>132</v>
      </c>
      <c r="C217" s="30"/>
      <c r="D217" s="30">
        <v>5</v>
      </c>
      <c r="E217" s="31">
        <f t="shared" si="3"/>
        <v>0.05</v>
      </c>
    </row>
    <row r="218" spans="1:5" x14ac:dyDescent="0.3">
      <c r="A218" s="24">
        <v>4</v>
      </c>
      <c r="B218" s="29" t="s">
        <v>10</v>
      </c>
      <c r="C218" s="30"/>
      <c r="D218" s="30">
        <v>75</v>
      </c>
      <c r="E218" s="31">
        <f t="shared" si="3"/>
        <v>0.75</v>
      </c>
    </row>
    <row r="219" spans="1:5" x14ac:dyDescent="0.3">
      <c r="A219" s="24">
        <v>5</v>
      </c>
      <c r="B219" s="29" t="s">
        <v>66</v>
      </c>
      <c r="C219" s="30"/>
      <c r="D219" s="30">
        <v>15</v>
      </c>
      <c r="E219" s="31">
        <f t="shared" si="3"/>
        <v>0.15</v>
      </c>
    </row>
    <row r="220" spans="1:5" x14ac:dyDescent="0.3">
      <c r="A220" s="24">
        <v>6</v>
      </c>
      <c r="B220" s="29" t="s">
        <v>196</v>
      </c>
      <c r="C220" s="30"/>
      <c r="D220" s="30">
        <v>10</v>
      </c>
      <c r="E220" s="31">
        <f t="shared" si="3"/>
        <v>0.1</v>
      </c>
    </row>
    <row r="221" spans="1:5" x14ac:dyDescent="0.3">
      <c r="A221" s="24">
        <v>7</v>
      </c>
      <c r="B221" s="29" t="s">
        <v>197</v>
      </c>
      <c r="C221" s="30"/>
      <c r="D221" s="30">
        <v>10</v>
      </c>
      <c r="E221" s="31">
        <f t="shared" si="3"/>
        <v>0.1</v>
      </c>
    </row>
    <row r="222" spans="1:5" x14ac:dyDescent="0.3">
      <c r="B222" s="29"/>
      <c r="C222" s="30"/>
      <c r="D222" s="30"/>
      <c r="E222" s="32"/>
    </row>
    <row r="223" spans="1:5" x14ac:dyDescent="0.3">
      <c r="E223" s="34"/>
    </row>
    <row r="224" spans="1:5" ht="37.5" x14ac:dyDescent="0.3">
      <c r="B224" s="4" t="s">
        <v>191</v>
      </c>
      <c r="D224" s="26" t="s">
        <v>5</v>
      </c>
      <c r="E224" s="26" t="s">
        <v>6</v>
      </c>
    </row>
    <row r="225" spans="1:5" x14ac:dyDescent="0.3">
      <c r="E225" s="36"/>
    </row>
    <row r="226" spans="1:5" x14ac:dyDescent="0.3">
      <c r="A226" s="24">
        <v>1</v>
      </c>
      <c r="B226" s="29" t="s">
        <v>192</v>
      </c>
      <c r="C226" s="30"/>
      <c r="D226" s="30">
        <v>200</v>
      </c>
      <c r="E226" s="37">
        <f t="shared" si="3"/>
        <v>2</v>
      </c>
    </row>
    <row r="227" spans="1:5" x14ac:dyDescent="0.3">
      <c r="A227" s="24">
        <v>2</v>
      </c>
      <c r="B227" s="29" t="s">
        <v>111</v>
      </c>
      <c r="C227" s="30"/>
      <c r="D227" s="30">
        <v>50</v>
      </c>
      <c r="E227" s="31">
        <f t="shared" si="3"/>
        <v>0.5</v>
      </c>
    </row>
    <row r="228" spans="1:5" x14ac:dyDescent="0.3">
      <c r="A228" s="24">
        <v>3</v>
      </c>
      <c r="B228" s="29" t="s">
        <v>110</v>
      </c>
      <c r="C228" s="30"/>
      <c r="D228" s="30">
        <v>50</v>
      </c>
      <c r="E228" s="31">
        <f t="shared" si="3"/>
        <v>0.5</v>
      </c>
    </row>
    <row r="229" spans="1:5" x14ac:dyDescent="0.3">
      <c r="A229" s="24">
        <v>4</v>
      </c>
      <c r="B229" s="29" t="s">
        <v>193</v>
      </c>
      <c r="C229" s="30"/>
      <c r="D229" s="30">
        <v>50</v>
      </c>
      <c r="E229" s="31">
        <f t="shared" si="3"/>
        <v>0.5</v>
      </c>
    </row>
    <row r="230" spans="1:5" x14ac:dyDescent="0.3">
      <c r="A230" s="24">
        <v>5</v>
      </c>
      <c r="B230" s="29" t="s">
        <v>3</v>
      </c>
      <c r="C230" s="30"/>
      <c r="D230" s="30">
        <v>10</v>
      </c>
      <c r="E230" s="31">
        <f t="shared" si="3"/>
        <v>0.1</v>
      </c>
    </row>
    <row r="231" spans="1:5" x14ac:dyDescent="0.3">
      <c r="A231" s="24">
        <v>6</v>
      </c>
      <c r="B231" s="29" t="s">
        <v>194</v>
      </c>
      <c r="C231" s="30"/>
      <c r="D231" s="30">
        <v>10</v>
      </c>
      <c r="E231" s="31">
        <f t="shared" si="3"/>
        <v>0.1</v>
      </c>
    </row>
    <row r="232" spans="1:5" x14ac:dyDescent="0.3">
      <c r="A232" s="24">
        <v>7</v>
      </c>
      <c r="B232" s="29" t="s">
        <v>195</v>
      </c>
      <c r="C232" s="30"/>
      <c r="D232" s="30">
        <v>5</v>
      </c>
      <c r="E232" s="31">
        <f t="shared" si="3"/>
        <v>0.05</v>
      </c>
    </row>
    <row r="233" spans="1:5" x14ac:dyDescent="0.3">
      <c r="A233" s="24">
        <v>8</v>
      </c>
      <c r="B233" s="29" t="s">
        <v>118</v>
      </c>
      <c r="C233" s="30"/>
      <c r="D233" s="30">
        <v>250</v>
      </c>
      <c r="E233" s="31">
        <f t="shared" si="3"/>
        <v>2.5</v>
      </c>
    </row>
    <row r="234" spans="1:5" x14ac:dyDescent="0.3">
      <c r="A234" s="24">
        <v>9</v>
      </c>
      <c r="B234" s="29" t="s">
        <v>132</v>
      </c>
      <c r="C234" s="30"/>
      <c r="D234" s="30">
        <v>5</v>
      </c>
      <c r="E234" s="31">
        <f t="shared" si="3"/>
        <v>0.05</v>
      </c>
    </row>
    <row r="235" spans="1:5" x14ac:dyDescent="0.3">
      <c r="A235" s="24">
        <v>10</v>
      </c>
      <c r="B235" s="29" t="s">
        <v>175</v>
      </c>
      <c r="C235" s="30"/>
      <c r="D235" s="30" t="s">
        <v>249</v>
      </c>
      <c r="E235" s="31" t="s">
        <v>268</v>
      </c>
    </row>
    <row r="236" spans="1:5" x14ac:dyDescent="0.3">
      <c r="A236" s="24">
        <v>11</v>
      </c>
      <c r="B236" s="29" t="s">
        <v>167</v>
      </c>
      <c r="C236" s="30"/>
      <c r="D236" s="30" t="s">
        <v>255</v>
      </c>
      <c r="E236" s="31" t="s">
        <v>279</v>
      </c>
    </row>
    <row r="237" spans="1:5" x14ac:dyDescent="0.3">
      <c r="B237" s="29"/>
      <c r="C237" s="30"/>
      <c r="D237" s="30"/>
      <c r="E237" s="32"/>
    </row>
    <row r="238" spans="1:5" x14ac:dyDescent="0.3">
      <c r="E238" s="34"/>
    </row>
    <row r="239" spans="1:5" ht="37.5" x14ac:dyDescent="0.3">
      <c r="B239" s="4" t="s">
        <v>198</v>
      </c>
      <c r="D239" s="26" t="s">
        <v>5</v>
      </c>
      <c r="E239" s="26" t="s">
        <v>6</v>
      </c>
    </row>
    <row r="240" spans="1:5" x14ac:dyDescent="0.3">
      <c r="E240" s="36"/>
    </row>
    <row r="241" spans="1:5" x14ac:dyDescent="0.3">
      <c r="A241" s="24">
        <v>1</v>
      </c>
      <c r="B241" s="29" t="s">
        <v>203</v>
      </c>
      <c r="C241" s="30"/>
      <c r="D241" s="30" t="s">
        <v>217</v>
      </c>
      <c r="E241" s="37" t="s">
        <v>278</v>
      </c>
    </row>
    <row r="242" spans="1:5" x14ac:dyDescent="0.3">
      <c r="A242" s="24">
        <v>2</v>
      </c>
      <c r="B242" s="29" t="s">
        <v>103</v>
      </c>
      <c r="C242" s="30"/>
      <c r="D242" s="30">
        <v>250</v>
      </c>
      <c r="E242" s="31">
        <f t="shared" si="3"/>
        <v>2.5</v>
      </c>
    </row>
    <row r="243" spans="1:5" x14ac:dyDescent="0.3">
      <c r="A243" s="24">
        <v>3</v>
      </c>
      <c r="B243" s="29" t="s">
        <v>204</v>
      </c>
      <c r="C243" s="30"/>
      <c r="D243" s="30">
        <v>75</v>
      </c>
      <c r="E243" s="31">
        <f t="shared" si="3"/>
        <v>0.75</v>
      </c>
    </row>
    <row r="244" spans="1:5" x14ac:dyDescent="0.3">
      <c r="A244" s="24">
        <v>4</v>
      </c>
      <c r="B244" s="29" t="s">
        <v>66</v>
      </c>
      <c r="C244" s="30"/>
      <c r="D244" s="30">
        <v>15</v>
      </c>
      <c r="E244" s="31">
        <f t="shared" si="3"/>
        <v>0.15</v>
      </c>
    </row>
    <row r="245" spans="1:5" x14ac:dyDescent="0.3">
      <c r="A245" s="24">
        <v>5</v>
      </c>
      <c r="B245" s="29" t="s">
        <v>175</v>
      </c>
      <c r="C245" s="30"/>
      <c r="D245" s="30" t="s">
        <v>260</v>
      </c>
      <c r="E245" s="31" t="s">
        <v>277</v>
      </c>
    </row>
    <row r="246" spans="1:5" x14ac:dyDescent="0.3">
      <c r="A246" s="24">
        <v>6</v>
      </c>
      <c r="B246" s="29" t="s">
        <v>205</v>
      </c>
      <c r="C246" s="30"/>
      <c r="D246" s="30">
        <v>30</v>
      </c>
      <c r="E246" s="31">
        <f t="shared" si="3"/>
        <v>0.3</v>
      </c>
    </row>
    <row r="247" spans="1:5" x14ac:dyDescent="0.3">
      <c r="A247" s="24">
        <v>7</v>
      </c>
      <c r="B247" s="29" t="s">
        <v>63</v>
      </c>
      <c r="C247" s="30"/>
      <c r="D247" s="30">
        <v>75</v>
      </c>
      <c r="E247" s="31">
        <f t="shared" si="3"/>
        <v>0.75</v>
      </c>
    </row>
    <row r="248" spans="1:5" x14ac:dyDescent="0.3">
      <c r="A248" s="24">
        <v>8</v>
      </c>
      <c r="B248" s="29" t="s">
        <v>206</v>
      </c>
      <c r="C248" s="30"/>
      <c r="D248" s="30">
        <v>15</v>
      </c>
      <c r="E248" s="31">
        <f t="shared" si="3"/>
        <v>0.15</v>
      </c>
    </row>
    <row r="249" spans="1:5" x14ac:dyDescent="0.3">
      <c r="A249" s="24">
        <v>9</v>
      </c>
      <c r="B249" s="29" t="s">
        <v>207</v>
      </c>
      <c r="C249" s="30"/>
      <c r="D249" s="30">
        <v>200</v>
      </c>
      <c r="E249" s="31">
        <f t="shared" si="3"/>
        <v>2</v>
      </c>
    </row>
    <row r="250" spans="1:5" x14ac:dyDescent="0.3">
      <c r="A250" s="24">
        <v>10</v>
      </c>
      <c r="B250" s="29" t="s">
        <v>41</v>
      </c>
      <c r="C250" s="30"/>
      <c r="D250" s="30">
        <v>100</v>
      </c>
      <c r="E250" s="31">
        <f t="shared" si="3"/>
        <v>1</v>
      </c>
    </row>
    <row r="251" spans="1:5" x14ac:dyDescent="0.3">
      <c r="A251" s="24">
        <v>11</v>
      </c>
      <c r="B251" s="29" t="s">
        <v>208</v>
      </c>
      <c r="C251" s="30"/>
      <c r="D251" s="30">
        <v>100</v>
      </c>
      <c r="E251" s="31">
        <f t="shared" si="3"/>
        <v>1</v>
      </c>
    </row>
    <row r="252" spans="1:5" x14ac:dyDescent="0.3">
      <c r="A252" s="24">
        <v>12</v>
      </c>
      <c r="B252" s="29" t="s">
        <v>209</v>
      </c>
      <c r="C252" s="30"/>
      <c r="D252" s="30">
        <v>75</v>
      </c>
      <c r="E252" s="31">
        <f t="shared" si="3"/>
        <v>0.75</v>
      </c>
    </row>
    <row r="253" spans="1:5" x14ac:dyDescent="0.3">
      <c r="A253" s="24">
        <v>13</v>
      </c>
      <c r="B253" s="29" t="s">
        <v>195</v>
      </c>
      <c r="C253" s="30"/>
      <c r="D253" s="30">
        <v>5</v>
      </c>
      <c r="E253" s="31">
        <f t="shared" si="3"/>
        <v>0.05</v>
      </c>
    </row>
    <row r="254" spans="1:5" x14ac:dyDescent="0.3">
      <c r="A254" s="24">
        <v>14</v>
      </c>
      <c r="B254" s="29" t="s">
        <v>210</v>
      </c>
      <c r="C254" s="30"/>
      <c r="D254" s="30">
        <v>5</v>
      </c>
      <c r="E254" s="31">
        <f t="shared" si="3"/>
        <v>0.05</v>
      </c>
    </row>
    <row r="255" spans="1:5" x14ac:dyDescent="0.3">
      <c r="A255" s="24">
        <v>15</v>
      </c>
      <c r="B255" s="29" t="s">
        <v>211</v>
      </c>
      <c r="C255" s="30"/>
      <c r="D255" s="30">
        <v>5</v>
      </c>
      <c r="E255" s="31">
        <f t="shared" si="3"/>
        <v>0.05</v>
      </c>
    </row>
    <row r="256" spans="1:5" x14ac:dyDescent="0.3">
      <c r="A256" s="24">
        <v>16</v>
      </c>
      <c r="B256" s="29" t="s">
        <v>168</v>
      </c>
      <c r="C256" s="30"/>
      <c r="D256" s="30">
        <v>5</v>
      </c>
      <c r="E256" s="31">
        <f t="shared" si="3"/>
        <v>0.05</v>
      </c>
    </row>
    <row r="257" spans="1:5" x14ac:dyDescent="0.3">
      <c r="A257" s="24">
        <v>17</v>
      </c>
      <c r="B257" s="29" t="s">
        <v>212</v>
      </c>
      <c r="C257" s="30"/>
      <c r="D257" s="30">
        <v>5</v>
      </c>
      <c r="E257" s="31">
        <f t="shared" si="3"/>
        <v>0.05</v>
      </c>
    </row>
    <row r="258" spans="1:5" x14ac:dyDescent="0.3">
      <c r="A258" s="24">
        <v>18</v>
      </c>
      <c r="B258" s="29" t="s">
        <v>169</v>
      </c>
      <c r="C258" s="30"/>
      <c r="D258" s="30">
        <v>5</v>
      </c>
      <c r="E258" s="31">
        <f t="shared" si="3"/>
        <v>0.05</v>
      </c>
    </row>
    <row r="259" spans="1:5" x14ac:dyDescent="0.3">
      <c r="A259" s="24">
        <v>19</v>
      </c>
      <c r="B259" s="29" t="s">
        <v>213</v>
      </c>
      <c r="C259" s="30"/>
      <c r="D259" s="30">
        <v>7.5</v>
      </c>
      <c r="E259" s="31">
        <f t="shared" si="3"/>
        <v>7.4999999999999997E-2</v>
      </c>
    </row>
    <row r="260" spans="1:5" x14ac:dyDescent="0.3">
      <c r="A260" s="24">
        <v>20</v>
      </c>
      <c r="B260" s="29" t="s">
        <v>57</v>
      </c>
      <c r="C260" s="30"/>
      <c r="D260" s="30">
        <v>10</v>
      </c>
      <c r="E260" s="31">
        <f t="shared" si="3"/>
        <v>0.1</v>
      </c>
    </row>
    <row r="261" spans="1:5" x14ac:dyDescent="0.3">
      <c r="A261" s="24">
        <v>21</v>
      </c>
      <c r="B261" s="29" t="s">
        <v>143</v>
      </c>
      <c r="C261" s="30"/>
      <c r="D261" s="30">
        <v>125</v>
      </c>
      <c r="E261" s="31">
        <f t="shared" si="3"/>
        <v>1.25</v>
      </c>
    </row>
    <row r="262" spans="1:5" x14ac:dyDescent="0.3">
      <c r="A262" s="24">
        <v>22</v>
      </c>
      <c r="B262" s="29" t="s">
        <v>214</v>
      </c>
      <c r="C262" s="30"/>
      <c r="D262" s="30">
        <v>50</v>
      </c>
      <c r="E262" s="31">
        <f t="shared" si="3"/>
        <v>0.5</v>
      </c>
    </row>
    <row r="263" spans="1:5" x14ac:dyDescent="0.3">
      <c r="A263" s="24">
        <v>23</v>
      </c>
      <c r="B263" s="29" t="s">
        <v>139</v>
      </c>
      <c r="C263" s="30"/>
      <c r="D263" s="30">
        <v>5</v>
      </c>
      <c r="E263" s="31">
        <f t="shared" si="3"/>
        <v>0.05</v>
      </c>
    </row>
    <row r="264" spans="1:5" x14ac:dyDescent="0.3">
      <c r="A264" s="24">
        <v>24</v>
      </c>
      <c r="B264" s="29" t="s">
        <v>215</v>
      </c>
      <c r="C264" s="30"/>
      <c r="D264" s="30">
        <v>125</v>
      </c>
      <c r="E264" s="31">
        <f t="shared" ref="E264:E327" si="4">(D264*10)/1000</f>
        <v>1.25</v>
      </c>
    </row>
    <row r="265" spans="1:5" x14ac:dyDescent="0.3">
      <c r="A265" s="24">
        <v>25</v>
      </c>
      <c r="B265" s="29" t="s">
        <v>216</v>
      </c>
      <c r="C265" s="30"/>
      <c r="D265" s="30">
        <v>10</v>
      </c>
      <c r="E265" s="31">
        <f t="shared" si="4"/>
        <v>0.1</v>
      </c>
    </row>
    <row r="266" spans="1:5" x14ac:dyDescent="0.3">
      <c r="B266" s="29"/>
      <c r="C266" s="30"/>
      <c r="D266" s="30"/>
      <c r="E266" s="32"/>
    </row>
    <row r="267" spans="1:5" x14ac:dyDescent="0.3">
      <c r="E267" s="34"/>
    </row>
    <row r="268" spans="1:5" ht="37.5" x14ac:dyDescent="0.3">
      <c r="B268" s="4" t="s">
        <v>199</v>
      </c>
      <c r="D268" s="26" t="s">
        <v>5</v>
      </c>
      <c r="E268" s="26" t="s">
        <v>6</v>
      </c>
    </row>
    <row r="269" spans="1:5" x14ac:dyDescent="0.3">
      <c r="E269" s="36"/>
    </row>
    <row r="270" spans="1:5" x14ac:dyDescent="0.3">
      <c r="A270" s="24">
        <v>1</v>
      </c>
      <c r="B270" s="29" t="s">
        <v>200</v>
      </c>
      <c r="C270" s="30"/>
      <c r="D270" s="30">
        <v>300</v>
      </c>
      <c r="E270" s="37">
        <f t="shared" si="4"/>
        <v>3</v>
      </c>
    </row>
    <row r="271" spans="1:5" x14ac:dyDescent="0.3">
      <c r="A271" s="24">
        <v>2</v>
      </c>
      <c r="B271" s="29" t="s">
        <v>118</v>
      </c>
      <c r="C271" s="30"/>
      <c r="D271" s="30">
        <v>250</v>
      </c>
      <c r="E271" s="31">
        <f t="shared" si="4"/>
        <v>2.5</v>
      </c>
    </row>
    <row r="272" spans="1:5" x14ac:dyDescent="0.3">
      <c r="A272" s="24">
        <v>3</v>
      </c>
      <c r="B272" s="29" t="s">
        <v>201</v>
      </c>
      <c r="C272" s="30"/>
      <c r="D272" s="30">
        <v>5</v>
      </c>
      <c r="E272" s="31">
        <f t="shared" si="4"/>
        <v>0.05</v>
      </c>
    </row>
    <row r="273" spans="1:6" x14ac:dyDescent="0.3">
      <c r="A273" s="24">
        <v>4</v>
      </c>
      <c r="B273" s="29" t="s">
        <v>170</v>
      </c>
      <c r="C273" s="30"/>
      <c r="D273" s="30">
        <v>100</v>
      </c>
      <c r="E273" s="31">
        <f t="shared" si="4"/>
        <v>1</v>
      </c>
    </row>
    <row r="274" spans="1:6" x14ac:dyDescent="0.3">
      <c r="A274" s="24">
        <v>5</v>
      </c>
      <c r="B274" s="29" t="s">
        <v>185</v>
      </c>
      <c r="C274" s="30"/>
      <c r="D274" s="30">
        <v>150</v>
      </c>
      <c r="E274" s="31">
        <f t="shared" si="4"/>
        <v>1.5</v>
      </c>
    </row>
    <row r="275" spans="1:6" x14ac:dyDescent="0.3">
      <c r="A275" s="24">
        <v>6</v>
      </c>
      <c r="B275" s="29" t="s">
        <v>167</v>
      </c>
      <c r="C275" s="30"/>
      <c r="D275" s="30" t="s">
        <v>219</v>
      </c>
      <c r="E275" s="31" t="s">
        <v>274</v>
      </c>
    </row>
    <row r="276" spans="1:6" x14ac:dyDescent="0.3">
      <c r="A276" s="24">
        <v>7</v>
      </c>
      <c r="B276" s="29" t="s">
        <v>132</v>
      </c>
      <c r="C276" s="30"/>
      <c r="D276" s="30">
        <v>5</v>
      </c>
      <c r="E276" s="31">
        <f t="shared" si="4"/>
        <v>0.05</v>
      </c>
    </row>
    <row r="277" spans="1:6" x14ac:dyDescent="0.3">
      <c r="A277" s="24">
        <v>8</v>
      </c>
      <c r="B277" s="29" t="s">
        <v>141</v>
      </c>
      <c r="C277" s="30"/>
      <c r="D277" s="30">
        <v>5</v>
      </c>
      <c r="E277" s="31">
        <f t="shared" si="4"/>
        <v>0.05</v>
      </c>
    </row>
    <row r="278" spans="1:6" x14ac:dyDescent="0.3">
      <c r="A278" s="24">
        <v>9</v>
      </c>
      <c r="B278" s="29" t="s">
        <v>3</v>
      </c>
      <c r="C278" s="30"/>
      <c r="D278" s="30">
        <v>5</v>
      </c>
      <c r="E278" s="31">
        <f t="shared" si="4"/>
        <v>0.05</v>
      </c>
    </row>
    <row r="279" spans="1:6" x14ac:dyDescent="0.3">
      <c r="A279" s="24">
        <v>10</v>
      </c>
      <c r="B279" s="29" t="s">
        <v>120</v>
      </c>
      <c r="C279" s="30"/>
      <c r="D279" s="30">
        <v>5</v>
      </c>
      <c r="E279" s="31">
        <f t="shared" si="4"/>
        <v>0.05</v>
      </c>
    </row>
    <row r="280" spans="1:6" x14ac:dyDescent="0.3">
      <c r="A280" s="24">
        <v>11</v>
      </c>
      <c r="B280" s="29"/>
      <c r="C280" s="30"/>
      <c r="D280" s="30"/>
      <c r="E280" s="32"/>
    </row>
    <row r="281" spans="1:6" x14ac:dyDescent="0.3">
      <c r="E281" s="34"/>
    </row>
    <row r="282" spans="1:6" ht="37.5" x14ac:dyDescent="0.3">
      <c r="B282" s="4" t="s">
        <v>202</v>
      </c>
      <c r="D282" s="26" t="s">
        <v>5</v>
      </c>
      <c r="E282" s="26" t="s">
        <v>6</v>
      </c>
    </row>
    <row r="283" spans="1:6" x14ac:dyDescent="0.3">
      <c r="E283" s="36"/>
    </row>
    <row r="284" spans="1:6" x14ac:dyDescent="0.3">
      <c r="A284" s="24">
        <v>1</v>
      </c>
      <c r="B284" s="29" t="s">
        <v>187</v>
      </c>
      <c r="C284" s="30"/>
      <c r="D284" s="30">
        <v>250</v>
      </c>
      <c r="E284" s="37">
        <f t="shared" si="4"/>
        <v>2.5</v>
      </c>
      <c r="F284" s="38"/>
    </row>
    <row r="285" spans="1:6" x14ac:dyDescent="0.3">
      <c r="A285" s="24">
        <v>2</v>
      </c>
      <c r="B285" s="29" t="s">
        <v>170</v>
      </c>
      <c r="C285" s="30"/>
      <c r="D285" s="30">
        <v>50</v>
      </c>
      <c r="E285" s="31">
        <f t="shared" si="4"/>
        <v>0.5</v>
      </c>
      <c r="F285" s="38"/>
    </row>
    <row r="286" spans="1:6" x14ac:dyDescent="0.3">
      <c r="A286" s="24">
        <v>3</v>
      </c>
      <c r="B286" s="29" t="s">
        <v>110</v>
      </c>
      <c r="C286" s="30"/>
      <c r="D286" s="30">
        <v>50</v>
      </c>
      <c r="E286" s="31">
        <f t="shared" si="4"/>
        <v>0.5</v>
      </c>
      <c r="F286" s="38"/>
    </row>
    <row r="287" spans="1:6" x14ac:dyDescent="0.3">
      <c r="A287" s="24">
        <v>4</v>
      </c>
      <c r="B287" s="29" t="s">
        <v>111</v>
      </c>
      <c r="C287" s="30"/>
      <c r="D287" s="30">
        <v>50</v>
      </c>
      <c r="E287" s="31">
        <f t="shared" si="4"/>
        <v>0.5</v>
      </c>
      <c r="F287" s="38"/>
    </row>
    <row r="288" spans="1:6" x14ac:dyDescent="0.3">
      <c r="A288" s="24">
        <v>5</v>
      </c>
      <c r="B288" s="29" t="s">
        <v>220</v>
      </c>
      <c r="C288" s="30"/>
      <c r="D288" s="30">
        <v>50</v>
      </c>
      <c r="E288" s="31">
        <f t="shared" si="4"/>
        <v>0.5</v>
      </c>
      <c r="F288" s="38"/>
    </row>
    <row r="289" spans="1:6" x14ac:dyDescent="0.3">
      <c r="A289" s="24">
        <v>6</v>
      </c>
      <c r="B289" s="29" t="s">
        <v>175</v>
      </c>
      <c r="C289" s="30"/>
      <c r="D289" s="30">
        <v>100</v>
      </c>
      <c r="E289" s="31">
        <f t="shared" si="4"/>
        <v>1</v>
      </c>
      <c r="F289" s="38"/>
    </row>
    <row r="290" spans="1:6" x14ac:dyDescent="0.3">
      <c r="A290" s="24">
        <v>7</v>
      </c>
      <c r="B290" s="29" t="s">
        <v>194</v>
      </c>
      <c r="C290" s="30"/>
      <c r="D290" s="30">
        <v>1</v>
      </c>
      <c r="E290" s="31">
        <f t="shared" si="4"/>
        <v>0.01</v>
      </c>
      <c r="F290" s="38"/>
    </row>
    <row r="291" spans="1:6" x14ac:dyDescent="0.3">
      <c r="A291" s="24">
        <v>8</v>
      </c>
      <c r="B291" s="29" t="s">
        <v>3</v>
      </c>
      <c r="C291" s="30"/>
      <c r="D291" s="30">
        <v>5</v>
      </c>
      <c r="E291" s="31">
        <f t="shared" si="4"/>
        <v>0.05</v>
      </c>
      <c r="F291" s="38"/>
    </row>
    <row r="292" spans="1:6" x14ac:dyDescent="0.3">
      <c r="A292" s="24">
        <v>9</v>
      </c>
      <c r="B292" s="29" t="s">
        <v>201</v>
      </c>
      <c r="C292" s="30"/>
      <c r="D292" s="30">
        <v>5</v>
      </c>
      <c r="E292" s="31">
        <f t="shared" si="4"/>
        <v>0.05</v>
      </c>
      <c r="F292" s="38"/>
    </row>
    <row r="293" spans="1:6" x14ac:dyDescent="0.3">
      <c r="A293" s="24">
        <v>10</v>
      </c>
      <c r="B293" s="29" t="s">
        <v>103</v>
      </c>
      <c r="C293" s="30"/>
      <c r="D293" s="30">
        <v>250</v>
      </c>
      <c r="E293" s="31">
        <f t="shared" si="4"/>
        <v>2.5</v>
      </c>
      <c r="F293" s="38"/>
    </row>
    <row r="294" spans="1:6" x14ac:dyDescent="0.3">
      <c r="A294" s="24">
        <v>11</v>
      </c>
      <c r="B294" s="29" t="s">
        <v>66</v>
      </c>
      <c r="C294" s="30"/>
      <c r="D294" s="30">
        <v>15</v>
      </c>
      <c r="E294" s="31">
        <f t="shared" si="4"/>
        <v>0.15</v>
      </c>
      <c r="F294" s="38"/>
    </row>
    <row r="295" spans="1:6" x14ac:dyDescent="0.3">
      <c r="A295" s="24">
        <v>12</v>
      </c>
      <c r="B295" s="29" t="s">
        <v>185</v>
      </c>
      <c r="C295" s="30"/>
      <c r="D295" s="30">
        <v>50</v>
      </c>
      <c r="E295" s="31">
        <f t="shared" si="4"/>
        <v>0.5</v>
      </c>
      <c r="F295" s="38"/>
    </row>
    <row r="296" spans="1:6" x14ac:dyDescent="0.3">
      <c r="A296" s="24">
        <v>13</v>
      </c>
      <c r="B296" s="29"/>
      <c r="C296" s="30"/>
      <c r="D296" s="30"/>
      <c r="E296" s="32"/>
      <c r="F296" s="38"/>
    </row>
    <row r="297" spans="1:6" x14ac:dyDescent="0.3">
      <c r="E297" s="34"/>
    </row>
    <row r="298" spans="1:6" ht="37.5" x14ac:dyDescent="0.3">
      <c r="B298" s="4" t="s">
        <v>221</v>
      </c>
      <c r="D298" s="26" t="s">
        <v>5</v>
      </c>
      <c r="E298" s="26" t="s">
        <v>6</v>
      </c>
    </row>
    <row r="299" spans="1:6" x14ac:dyDescent="0.3">
      <c r="E299" s="36"/>
    </row>
    <row r="300" spans="1:6" x14ac:dyDescent="0.3">
      <c r="A300" s="24">
        <v>1</v>
      </c>
      <c r="B300" s="29" t="s">
        <v>222</v>
      </c>
      <c r="C300" s="30"/>
      <c r="D300" s="30">
        <v>300</v>
      </c>
      <c r="E300" s="37">
        <f t="shared" si="4"/>
        <v>3</v>
      </c>
    </row>
    <row r="301" spans="1:6" x14ac:dyDescent="0.3">
      <c r="A301" s="24">
        <v>2</v>
      </c>
      <c r="B301" s="29" t="s">
        <v>223</v>
      </c>
      <c r="C301" s="30"/>
      <c r="D301" s="30">
        <v>50</v>
      </c>
      <c r="E301" s="31">
        <f t="shared" si="4"/>
        <v>0.5</v>
      </c>
    </row>
    <row r="302" spans="1:6" x14ac:dyDescent="0.3">
      <c r="A302" s="24">
        <v>3</v>
      </c>
      <c r="B302" s="29" t="s">
        <v>10</v>
      </c>
      <c r="C302" s="30"/>
      <c r="D302" s="30">
        <v>75</v>
      </c>
      <c r="E302" s="31">
        <f t="shared" si="4"/>
        <v>0.75</v>
      </c>
    </row>
    <row r="303" spans="1:6" x14ac:dyDescent="0.3">
      <c r="A303" s="24">
        <v>4</v>
      </c>
      <c r="B303" s="29" t="s">
        <v>144</v>
      </c>
      <c r="C303" s="30"/>
      <c r="D303" s="30">
        <v>25</v>
      </c>
      <c r="E303" s="31">
        <f t="shared" si="4"/>
        <v>0.25</v>
      </c>
    </row>
    <row r="304" spans="1:6" x14ac:dyDescent="0.3">
      <c r="A304" s="24">
        <v>5</v>
      </c>
      <c r="B304" s="29" t="s">
        <v>195</v>
      </c>
      <c r="C304" s="30"/>
      <c r="D304" s="30">
        <v>5</v>
      </c>
      <c r="E304" s="31">
        <f t="shared" si="4"/>
        <v>0.05</v>
      </c>
    </row>
    <row r="305" spans="1:5" x14ac:dyDescent="0.3">
      <c r="A305" s="24">
        <v>6</v>
      </c>
      <c r="B305" s="29" t="s">
        <v>177</v>
      </c>
      <c r="C305" s="30"/>
      <c r="D305" s="30">
        <v>100</v>
      </c>
      <c r="E305" s="31">
        <f t="shared" si="4"/>
        <v>1</v>
      </c>
    </row>
    <row r="306" spans="1:5" x14ac:dyDescent="0.3">
      <c r="A306" s="24">
        <v>7</v>
      </c>
      <c r="B306" s="29" t="s">
        <v>143</v>
      </c>
      <c r="C306" s="30"/>
      <c r="D306" s="30">
        <v>125</v>
      </c>
      <c r="E306" s="31">
        <f t="shared" si="4"/>
        <v>1.25</v>
      </c>
    </row>
    <row r="307" spans="1:5" x14ac:dyDescent="0.3">
      <c r="A307" s="24">
        <v>8</v>
      </c>
      <c r="B307" s="29" t="s">
        <v>120</v>
      </c>
      <c r="C307" s="30"/>
      <c r="D307" s="30">
        <v>5</v>
      </c>
      <c r="E307" s="31">
        <f t="shared" si="4"/>
        <v>0.05</v>
      </c>
    </row>
    <row r="308" spans="1:5" x14ac:dyDescent="0.3">
      <c r="A308" s="24">
        <v>9</v>
      </c>
      <c r="B308" s="29" t="s">
        <v>185</v>
      </c>
      <c r="C308" s="30"/>
      <c r="D308" s="30">
        <v>50</v>
      </c>
      <c r="E308" s="31">
        <f t="shared" si="4"/>
        <v>0.5</v>
      </c>
    </row>
    <row r="309" spans="1:5" x14ac:dyDescent="0.3">
      <c r="A309" s="24">
        <v>10</v>
      </c>
      <c r="B309" s="29" t="s">
        <v>110</v>
      </c>
      <c r="C309" s="30"/>
      <c r="D309" s="30">
        <v>50</v>
      </c>
      <c r="E309" s="31">
        <f t="shared" si="4"/>
        <v>0.5</v>
      </c>
    </row>
    <row r="310" spans="1:5" x14ac:dyDescent="0.3">
      <c r="B310" s="29"/>
      <c r="C310" s="30"/>
      <c r="D310" s="30"/>
      <c r="E310" s="32"/>
    </row>
    <row r="311" spans="1:5" x14ac:dyDescent="0.3">
      <c r="E311" s="34"/>
    </row>
    <row r="312" spans="1:5" ht="37.5" x14ac:dyDescent="0.3">
      <c r="B312" s="4" t="s">
        <v>224</v>
      </c>
      <c r="D312" s="26" t="s">
        <v>5</v>
      </c>
      <c r="E312" s="26" t="s">
        <v>6</v>
      </c>
    </row>
    <row r="313" spans="1:5" x14ac:dyDescent="0.3">
      <c r="E313" s="36"/>
    </row>
    <row r="314" spans="1:5" x14ac:dyDescent="0.3">
      <c r="A314" s="24">
        <v>1</v>
      </c>
      <c r="B314" s="29" t="s">
        <v>225</v>
      </c>
      <c r="C314" s="30"/>
      <c r="D314" s="30">
        <v>300</v>
      </c>
      <c r="E314" s="37">
        <f t="shared" si="4"/>
        <v>3</v>
      </c>
    </row>
    <row r="315" spans="1:5" x14ac:dyDescent="0.3">
      <c r="A315" s="24">
        <v>2</v>
      </c>
      <c r="B315" s="29" t="s">
        <v>229</v>
      </c>
      <c r="C315" s="30"/>
      <c r="D315" s="30">
        <v>50</v>
      </c>
      <c r="E315" s="31">
        <f t="shared" si="4"/>
        <v>0.5</v>
      </c>
    </row>
    <row r="316" spans="1:5" x14ac:dyDescent="0.3">
      <c r="A316" s="24">
        <v>3</v>
      </c>
      <c r="B316" s="29" t="s">
        <v>220</v>
      </c>
      <c r="C316" s="30"/>
      <c r="D316" s="30">
        <v>100</v>
      </c>
      <c r="E316" s="31">
        <f t="shared" si="4"/>
        <v>1</v>
      </c>
    </row>
    <row r="317" spans="1:5" x14ac:dyDescent="0.3">
      <c r="A317" s="24">
        <v>4</v>
      </c>
      <c r="B317" s="29" t="s">
        <v>175</v>
      </c>
      <c r="C317" s="30"/>
      <c r="D317" s="30" t="s">
        <v>258</v>
      </c>
      <c r="E317" s="31" t="s">
        <v>268</v>
      </c>
    </row>
    <row r="318" spans="1:5" x14ac:dyDescent="0.3">
      <c r="A318" s="24">
        <v>5</v>
      </c>
      <c r="B318" s="29" t="s">
        <v>185</v>
      </c>
      <c r="C318" s="30"/>
      <c r="D318" s="30">
        <v>100</v>
      </c>
      <c r="E318" s="31">
        <f t="shared" si="4"/>
        <v>1</v>
      </c>
    </row>
    <row r="319" spans="1:5" x14ac:dyDescent="0.3">
      <c r="A319" s="24">
        <v>6</v>
      </c>
      <c r="B319" s="29" t="s">
        <v>66</v>
      </c>
      <c r="C319" s="30"/>
      <c r="D319" s="30">
        <v>15</v>
      </c>
      <c r="E319" s="31">
        <f t="shared" si="4"/>
        <v>0.15</v>
      </c>
    </row>
    <row r="320" spans="1:5" x14ac:dyDescent="0.3">
      <c r="A320" s="24">
        <v>7</v>
      </c>
      <c r="B320" s="29" t="s">
        <v>3</v>
      </c>
      <c r="C320" s="30"/>
      <c r="D320" s="30">
        <v>10</v>
      </c>
      <c r="E320" s="31">
        <f t="shared" si="4"/>
        <v>0.1</v>
      </c>
    </row>
    <row r="321" spans="1:5" x14ac:dyDescent="0.3">
      <c r="A321" s="24">
        <v>8</v>
      </c>
      <c r="B321" s="29" t="s">
        <v>112</v>
      </c>
      <c r="C321" s="30"/>
      <c r="D321" s="30">
        <v>10</v>
      </c>
      <c r="E321" s="31">
        <f t="shared" si="4"/>
        <v>0.1</v>
      </c>
    </row>
    <row r="322" spans="1:5" x14ac:dyDescent="0.3">
      <c r="A322" s="24">
        <v>9</v>
      </c>
      <c r="B322" s="29" t="s">
        <v>139</v>
      </c>
      <c r="C322" s="30"/>
      <c r="D322" s="30">
        <v>5</v>
      </c>
      <c r="E322" s="31">
        <f t="shared" si="4"/>
        <v>0.05</v>
      </c>
    </row>
    <row r="323" spans="1:5" x14ac:dyDescent="0.3">
      <c r="A323" s="24">
        <v>10</v>
      </c>
      <c r="B323" s="29" t="s">
        <v>201</v>
      </c>
      <c r="C323" s="30"/>
      <c r="D323" s="30">
        <v>10</v>
      </c>
      <c r="E323" s="31">
        <f t="shared" si="4"/>
        <v>0.1</v>
      </c>
    </row>
    <row r="324" spans="1:5" x14ac:dyDescent="0.3">
      <c r="A324" s="24">
        <v>11</v>
      </c>
      <c r="B324" s="29" t="s">
        <v>226</v>
      </c>
      <c r="C324" s="30"/>
      <c r="D324" s="30">
        <v>200</v>
      </c>
      <c r="E324" s="31">
        <f t="shared" si="4"/>
        <v>2</v>
      </c>
    </row>
    <row r="325" spans="1:5" x14ac:dyDescent="0.3">
      <c r="A325" s="24">
        <v>12</v>
      </c>
      <c r="B325" s="29" t="s">
        <v>137</v>
      </c>
      <c r="C325" s="30"/>
      <c r="D325" s="30">
        <v>50</v>
      </c>
      <c r="E325" s="31">
        <f t="shared" si="4"/>
        <v>0.5</v>
      </c>
    </row>
    <row r="326" spans="1:5" x14ac:dyDescent="0.3">
      <c r="A326" s="24">
        <v>13</v>
      </c>
      <c r="B326" s="29" t="s">
        <v>170</v>
      </c>
      <c r="C326" s="30"/>
      <c r="D326" s="30">
        <v>20</v>
      </c>
      <c r="E326" s="31">
        <f t="shared" si="4"/>
        <v>0.2</v>
      </c>
    </row>
    <row r="327" spans="1:5" x14ac:dyDescent="0.3">
      <c r="B327" s="29" t="s">
        <v>111</v>
      </c>
      <c r="C327" s="30"/>
      <c r="D327" s="30">
        <v>50</v>
      </c>
      <c r="E327" s="32">
        <f t="shared" si="4"/>
        <v>0.5</v>
      </c>
    </row>
    <row r="328" spans="1:5" x14ac:dyDescent="0.3">
      <c r="E328" s="34"/>
    </row>
    <row r="329" spans="1:5" ht="37.5" x14ac:dyDescent="0.3">
      <c r="B329" s="4" t="s">
        <v>227</v>
      </c>
      <c r="D329" s="26" t="s">
        <v>5</v>
      </c>
      <c r="E329" s="26" t="s">
        <v>6</v>
      </c>
    </row>
    <row r="330" spans="1:5" x14ac:dyDescent="0.3">
      <c r="E330" s="36"/>
    </row>
    <row r="331" spans="1:5" x14ac:dyDescent="0.3">
      <c r="A331" s="24">
        <v>1</v>
      </c>
      <c r="B331" s="29" t="s">
        <v>228</v>
      </c>
      <c r="C331" s="30"/>
      <c r="D331" s="30">
        <v>250</v>
      </c>
      <c r="E331" s="37">
        <f t="shared" ref="E331:E391" si="5">(D331*10)/1000</f>
        <v>2.5</v>
      </c>
    </row>
    <row r="332" spans="1:5" x14ac:dyDescent="0.3">
      <c r="A332" s="24">
        <v>2</v>
      </c>
      <c r="B332" s="29" t="s">
        <v>185</v>
      </c>
      <c r="C332" s="30"/>
      <c r="D332" s="30">
        <v>100</v>
      </c>
      <c r="E332" s="31">
        <f t="shared" si="5"/>
        <v>1</v>
      </c>
    </row>
    <row r="333" spans="1:5" x14ac:dyDescent="0.3">
      <c r="A333" s="24">
        <v>3</v>
      </c>
      <c r="B333" s="29" t="s">
        <v>66</v>
      </c>
      <c r="C333" s="30"/>
      <c r="D333" s="30">
        <v>15</v>
      </c>
      <c r="E333" s="31">
        <f t="shared" si="5"/>
        <v>0.15</v>
      </c>
    </row>
    <row r="334" spans="1:5" x14ac:dyDescent="0.3">
      <c r="A334" s="24">
        <v>4</v>
      </c>
      <c r="B334" s="29" t="s">
        <v>195</v>
      </c>
      <c r="C334" s="30"/>
      <c r="D334" s="30">
        <v>5</v>
      </c>
      <c r="E334" s="31">
        <f t="shared" si="5"/>
        <v>0.05</v>
      </c>
    </row>
    <row r="335" spans="1:5" x14ac:dyDescent="0.3">
      <c r="A335" s="24">
        <v>5</v>
      </c>
      <c r="B335" s="29" t="s">
        <v>139</v>
      </c>
      <c r="C335" s="30"/>
      <c r="D335" s="30">
        <v>5</v>
      </c>
      <c r="E335" s="31">
        <f t="shared" si="5"/>
        <v>0.05</v>
      </c>
    </row>
    <row r="336" spans="1:5" x14ac:dyDescent="0.3">
      <c r="A336" s="24">
        <v>6</v>
      </c>
      <c r="B336" s="29" t="s">
        <v>229</v>
      </c>
      <c r="C336" s="30"/>
      <c r="D336" s="30">
        <v>50</v>
      </c>
      <c r="E336" s="31">
        <f t="shared" si="5"/>
        <v>0.5</v>
      </c>
    </row>
    <row r="337" spans="1:5" x14ac:dyDescent="0.3">
      <c r="A337" s="24">
        <v>7</v>
      </c>
      <c r="B337" s="29" t="s">
        <v>220</v>
      </c>
      <c r="C337" s="30"/>
      <c r="D337" s="30">
        <v>100</v>
      </c>
      <c r="E337" s="31">
        <f t="shared" si="5"/>
        <v>1</v>
      </c>
    </row>
    <row r="338" spans="1:5" x14ac:dyDescent="0.3">
      <c r="A338" s="24">
        <v>8</v>
      </c>
      <c r="B338" s="29" t="s">
        <v>111</v>
      </c>
      <c r="C338" s="30"/>
      <c r="D338" s="30">
        <v>50</v>
      </c>
      <c r="E338" s="31">
        <f t="shared" si="5"/>
        <v>0.5</v>
      </c>
    </row>
    <row r="339" spans="1:5" x14ac:dyDescent="0.3">
      <c r="A339" s="24">
        <v>9</v>
      </c>
      <c r="B339" s="29" t="s">
        <v>118</v>
      </c>
      <c r="C339" s="30"/>
      <c r="D339" s="30">
        <v>250</v>
      </c>
      <c r="E339" s="31">
        <f t="shared" si="5"/>
        <v>2.5</v>
      </c>
    </row>
    <row r="340" spans="1:5" x14ac:dyDescent="0.3">
      <c r="A340" s="24">
        <v>10</v>
      </c>
      <c r="B340" s="29" t="s">
        <v>10</v>
      </c>
      <c r="C340" s="30"/>
      <c r="D340" s="30">
        <v>75</v>
      </c>
      <c r="E340" s="31">
        <f t="shared" si="5"/>
        <v>0.75</v>
      </c>
    </row>
    <row r="341" spans="1:5" x14ac:dyDescent="0.3">
      <c r="A341" s="24">
        <v>11</v>
      </c>
      <c r="B341" s="29" t="s">
        <v>167</v>
      </c>
      <c r="C341" s="30"/>
      <c r="D341" s="30">
        <v>50</v>
      </c>
      <c r="E341" s="31">
        <f t="shared" si="5"/>
        <v>0.5</v>
      </c>
    </row>
    <row r="342" spans="1:5" x14ac:dyDescent="0.3">
      <c r="A342" s="24">
        <v>12</v>
      </c>
      <c r="B342" s="29" t="s">
        <v>99</v>
      </c>
      <c r="C342" s="30"/>
      <c r="D342" s="30">
        <v>10</v>
      </c>
      <c r="E342" s="31">
        <f t="shared" si="5"/>
        <v>0.1</v>
      </c>
    </row>
    <row r="343" spans="1:5" x14ac:dyDescent="0.3">
      <c r="A343" s="24">
        <v>13</v>
      </c>
      <c r="B343" s="29" t="s">
        <v>112</v>
      </c>
      <c r="C343" s="30"/>
      <c r="D343" s="30">
        <v>10</v>
      </c>
      <c r="E343" s="31">
        <f t="shared" si="5"/>
        <v>0.1</v>
      </c>
    </row>
    <row r="344" spans="1:5" x14ac:dyDescent="0.3">
      <c r="A344" s="24">
        <v>14</v>
      </c>
      <c r="B344" s="29" t="s">
        <v>175</v>
      </c>
      <c r="C344" s="30"/>
      <c r="D344" s="30" t="s">
        <v>249</v>
      </c>
      <c r="E344" s="32" t="s">
        <v>268</v>
      </c>
    </row>
    <row r="345" spans="1:5" x14ac:dyDescent="0.3">
      <c r="E345" s="34"/>
    </row>
    <row r="346" spans="1:5" ht="37.5" x14ac:dyDescent="0.3">
      <c r="B346" s="4" t="s">
        <v>230</v>
      </c>
      <c r="D346" s="26" t="s">
        <v>5</v>
      </c>
      <c r="E346" s="26" t="s">
        <v>6</v>
      </c>
    </row>
    <row r="347" spans="1:5" x14ac:dyDescent="0.3">
      <c r="E347" s="36"/>
    </row>
    <row r="348" spans="1:5" x14ac:dyDescent="0.3">
      <c r="A348" s="24">
        <v>1</v>
      </c>
      <c r="B348" s="29" t="s">
        <v>135</v>
      </c>
      <c r="C348" s="30"/>
      <c r="D348" s="30">
        <v>200</v>
      </c>
      <c r="E348" s="37">
        <f t="shared" si="5"/>
        <v>2</v>
      </c>
    </row>
    <row r="349" spans="1:5" x14ac:dyDescent="0.3">
      <c r="A349" s="24">
        <v>2</v>
      </c>
      <c r="B349" s="29" t="s">
        <v>118</v>
      </c>
      <c r="C349" s="30"/>
      <c r="D349" s="30">
        <v>250</v>
      </c>
      <c r="E349" s="31">
        <f t="shared" si="5"/>
        <v>2.5</v>
      </c>
    </row>
    <row r="350" spans="1:5" x14ac:dyDescent="0.3">
      <c r="A350" s="24">
        <v>3</v>
      </c>
      <c r="B350" s="29" t="s">
        <v>10</v>
      </c>
      <c r="C350" s="30"/>
      <c r="D350" s="30">
        <v>75</v>
      </c>
      <c r="E350" s="31">
        <f t="shared" si="5"/>
        <v>0.75</v>
      </c>
    </row>
    <row r="351" spans="1:5" x14ac:dyDescent="0.3">
      <c r="A351" s="24">
        <v>4</v>
      </c>
      <c r="B351" s="29" t="s">
        <v>3</v>
      </c>
      <c r="C351" s="30"/>
      <c r="D351" s="30">
        <v>10</v>
      </c>
      <c r="E351" s="31">
        <f t="shared" si="5"/>
        <v>0.1</v>
      </c>
    </row>
    <row r="352" spans="1:5" x14ac:dyDescent="0.3">
      <c r="A352" s="24">
        <v>5</v>
      </c>
      <c r="B352" s="29" t="s">
        <v>130</v>
      </c>
      <c r="C352" s="30"/>
      <c r="D352" s="30">
        <v>50</v>
      </c>
      <c r="E352" s="31">
        <f t="shared" si="5"/>
        <v>0.5</v>
      </c>
    </row>
    <row r="353" spans="1:5" x14ac:dyDescent="0.3">
      <c r="A353" s="24">
        <v>6</v>
      </c>
      <c r="B353" s="29" t="s">
        <v>63</v>
      </c>
      <c r="C353" s="30"/>
      <c r="D353" s="30">
        <v>75</v>
      </c>
      <c r="E353" s="31">
        <f t="shared" si="5"/>
        <v>0.75</v>
      </c>
    </row>
    <row r="354" spans="1:5" x14ac:dyDescent="0.3">
      <c r="A354" s="24">
        <v>7</v>
      </c>
      <c r="B354" s="29" t="s">
        <v>231</v>
      </c>
      <c r="C354" s="30"/>
      <c r="D354" s="30">
        <v>50</v>
      </c>
      <c r="E354" s="31">
        <f t="shared" si="5"/>
        <v>0.5</v>
      </c>
    </row>
    <row r="355" spans="1:5" x14ac:dyDescent="0.3">
      <c r="A355" s="24">
        <v>8</v>
      </c>
      <c r="B355" s="29" t="s">
        <v>66</v>
      </c>
      <c r="C355" s="30"/>
      <c r="D355" s="30">
        <v>15</v>
      </c>
      <c r="E355" s="31">
        <f t="shared" si="5"/>
        <v>0.15</v>
      </c>
    </row>
    <row r="356" spans="1:5" x14ac:dyDescent="0.3">
      <c r="A356" s="24">
        <v>9</v>
      </c>
      <c r="B356" s="29" t="s">
        <v>132</v>
      </c>
      <c r="C356" s="30"/>
      <c r="D356" s="30">
        <v>5</v>
      </c>
      <c r="E356" s="31">
        <f t="shared" si="5"/>
        <v>0.05</v>
      </c>
    </row>
    <row r="357" spans="1:5" x14ac:dyDescent="0.3">
      <c r="A357" s="24">
        <v>10</v>
      </c>
      <c r="B357" s="29" t="s">
        <v>66</v>
      </c>
      <c r="C357" s="30"/>
      <c r="D357" s="30">
        <v>15</v>
      </c>
      <c r="E357" s="31">
        <f t="shared" si="5"/>
        <v>0.15</v>
      </c>
    </row>
    <row r="358" spans="1:5" x14ac:dyDescent="0.3">
      <c r="A358" s="24">
        <v>11</v>
      </c>
      <c r="B358" s="29" t="s">
        <v>209</v>
      </c>
      <c r="C358" s="30"/>
      <c r="D358" s="30">
        <v>50</v>
      </c>
      <c r="E358" s="31">
        <f t="shared" si="5"/>
        <v>0.5</v>
      </c>
    </row>
    <row r="359" spans="1:5" x14ac:dyDescent="0.3">
      <c r="A359" s="24">
        <v>12</v>
      </c>
      <c r="B359" s="29" t="s">
        <v>215</v>
      </c>
      <c r="C359" s="30"/>
      <c r="D359" s="30" t="s">
        <v>256</v>
      </c>
      <c r="E359" s="31" t="s">
        <v>273</v>
      </c>
    </row>
    <row r="360" spans="1:5" x14ac:dyDescent="0.3">
      <c r="A360" s="24">
        <v>13</v>
      </c>
      <c r="B360" s="29" t="s">
        <v>185</v>
      </c>
      <c r="C360" s="30"/>
      <c r="D360" s="30">
        <v>50</v>
      </c>
      <c r="E360" s="31">
        <f t="shared" si="5"/>
        <v>0.5</v>
      </c>
    </row>
    <row r="361" spans="1:5" x14ac:dyDescent="0.3">
      <c r="A361" s="24">
        <v>14</v>
      </c>
      <c r="B361" s="29" t="s">
        <v>232</v>
      </c>
      <c r="C361" s="30"/>
      <c r="D361" s="30" t="s">
        <v>249</v>
      </c>
      <c r="E361" s="31" t="s">
        <v>276</v>
      </c>
    </row>
    <row r="362" spans="1:5" x14ac:dyDescent="0.3">
      <c r="A362" s="24">
        <v>15</v>
      </c>
      <c r="B362" s="29" t="s">
        <v>233</v>
      </c>
      <c r="C362" s="30"/>
      <c r="D362" s="30">
        <v>50</v>
      </c>
      <c r="E362" s="31">
        <f t="shared" si="5"/>
        <v>0.5</v>
      </c>
    </row>
    <row r="363" spans="1:5" x14ac:dyDescent="0.3">
      <c r="A363" s="24">
        <v>16</v>
      </c>
      <c r="B363" s="29" t="s">
        <v>182</v>
      </c>
      <c r="C363" s="30"/>
      <c r="D363" s="30">
        <v>20</v>
      </c>
      <c r="E363" s="31">
        <f t="shared" si="5"/>
        <v>0.2</v>
      </c>
    </row>
    <row r="364" spans="1:5" x14ac:dyDescent="0.3">
      <c r="A364" s="24">
        <v>17</v>
      </c>
      <c r="B364" s="29" t="s">
        <v>12</v>
      </c>
      <c r="C364" s="30"/>
      <c r="D364" s="30">
        <v>10</v>
      </c>
      <c r="E364" s="31">
        <f t="shared" si="5"/>
        <v>0.1</v>
      </c>
    </row>
    <row r="365" spans="1:5" x14ac:dyDescent="0.3">
      <c r="B365" s="29"/>
      <c r="C365" s="30"/>
      <c r="D365" s="30"/>
      <c r="E365" s="32">
        <f t="shared" si="5"/>
        <v>0</v>
      </c>
    </row>
    <row r="366" spans="1:5" x14ac:dyDescent="0.3">
      <c r="E366" s="34"/>
    </row>
    <row r="367" spans="1:5" ht="37.5" x14ac:dyDescent="0.3">
      <c r="B367" s="4" t="s">
        <v>234</v>
      </c>
      <c r="D367" s="26" t="s">
        <v>5</v>
      </c>
      <c r="E367" s="26" t="s">
        <v>6</v>
      </c>
    </row>
    <row r="368" spans="1:5" x14ac:dyDescent="0.3">
      <c r="E368" s="36"/>
    </row>
    <row r="369" spans="1:5" x14ac:dyDescent="0.3">
      <c r="A369" s="24">
        <v>1</v>
      </c>
      <c r="B369" s="29" t="s">
        <v>187</v>
      </c>
      <c r="C369" s="30"/>
      <c r="D369" s="30">
        <v>250</v>
      </c>
      <c r="E369" s="37">
        <f t="shared" si="5"/>
        <v>2.5</v>
      </c>
    </row>
    <row r="370" spans="1:5" x14ac:dyDescent="0.3">
      <c r="A370" s="24">
        <v>2</v>
      </c>
      <c r="B370" s="29" t="s">
        <v>10</v>
      </c>
      <c r="C370" s="30"/>
      <c r="D370" s="30">
        <v>150</v>
      </c>
      <c r="E370" s="31">
        <f t="shared" si="5"/>
        <v>1.5</v>
      </c>
    </row>
    <row r="371" spans="1:5" x14ac:dyDescent="0.3">
      <c r="A371" s="24">
        <v>3</v>
      </c>
      <c r="B371" s="29" t="s">
        <v>235</v>
      </c>
      <c r="C371" s="30"/>
      <c r="D371" s="30">
        <v>100</v>
      </c>
      <c r="E371" s="31">
        <f t="shared" si="5"/>
        <v>1</v>
      </c>
    </row>
    <row r="372" spans="1:5" x14ac:dyDescent="0.3">
      <c r="A372" s="24">
        <v>4</v>
      </c>
      <c r="B372" s="29" t="s">
        <v>262</v>
      </c>
      <c r="C372" s="30"/>
      <c r="D372" s="30" t="s">
        <v>248</v>
      </c>
      <c r="E372" s="31" t="s">
        <v>271</v>
      </c>
    </row>
    <row r="373" spans="1:5" x14ac:dyDescent="0.3">
      <c r="A373" s="24">
        <v>5</v>
      </c>
      <c r="B373" s="29" t="s">
        <v>236</v>
      </c>
      <c r="C373" s="30"/>
      <c r="D373" s="30">
        <v>50</v>
      </c>
      <c r="E373" s="31">
        <f t="shared" si="5"/>
        <v>0.5</v>
      </c>
    </row>
    <row r="374" spans="1:5" x14ac:dyDescent="0.3">
      <c r="A374" s="24">
        <v>6</v>
      </c>
      <c r="B374" s="29" t="s">
        <v>177</v>
      </c>
      <c r="C374" s="30"/>
      <c r="D374" s="30" t="s">
        <v>256</v>
      </c>
      <c r="E374" s="31" t="s">
        <v>273</v>
      </c>
    </row>
    <row r="375" spans="1:5" x14ac:dyDescent="0.3">
      <c r="A375" s="24">
        <v>7</v>
      </c>
      <c r="B375" s="29" t="s">
        <v>175</v>
      </c>
      <c r="C375" s="30"/>
      <c r="D375" s="30">
        <v>100</v>
      </c>
      <c r="E375" s="31">
        <f t="shared" si="5"/>
        <v>1</v>
      </c>
    </row>
    <row r="376" spans="1:5" x14ac:dyDescent="0.3">
      <c r="A376" s="24">
        <v>8</v>
      </c>
      <c r="B376" s="29" t="s">
        <v>110</v>
      </c>
      <c r="C376" s="30"/>
      <c r="D376" s="30">
        <v>50</v>
      </c>
      <c r="E376" s="31">
        <f t="shared" si="5"/>
        <v>0.5</v>
      </c>
    </row>
    <row r="377" spans="1:5" x14ac:dyDescent="0.3">
      <c r="A377" s="24">
        <v>9</v>
      </c>
      <c r="B377" s="29" t="s">
        <v>168</v>
      </c>
      <c r="C377" s="30"/>
      <c r="D377" s="30">
        <v>5</v>
      </c>
      <c r="E377" s="31">
        <f t="shared" si="5"/>
        <v>0.05</v>
      </c>
    </row>
    <row r="378" spans="1:5" x14ac:dyDescent="0.3">
      <c r="A378" s="24">
        <v>10</v>
      </c>
      <c r="B378" s="29" t="s">
        <v>118</v>
      </c>
      <c r="C378" s="30"/>
      <c r="D378" s="30">
        <v>250</v>
      </c>
      <c r="E378" s="31">
        <f t="shared" si="5"/>
        <v>2.5</v>
      </c>
    </row>
    <row r="379" spans="1:5" x14ac:dyDescent="0.3">
      <c r="A379" s="24">
        <v>11</v>
      </c>
      <c r="B379" s="29" t="s">
        <v>11</v>
      </c>
      <c r="C379" s="30"/>
      <c r="D379" s="30">
        <v>300</v>
      </c>
      <c r="E379" s="31">
        <f t="shared" si="5"/>
        <v>3</v>
      </c>
    </row>
    <row r="380" spans="1:5" x14ac:dyDescent="0.3">
      <c r="A380" s="24">
        <v>12</v>
      </c>
      <c r="B380" s="29" t="s">
        <v>66</v>
      </c>
      <c r="C380" s="30"/>
      <c r="D380" s="30">
        <v>15</v>
      </c>
      <c r="E380" s="31">
        <f t="shared" si="5"/>
        <v>0.15</v>
      </c>
    </row>
    <row r="381" spans="1:5" x14ac:dyDescent="0.3">
      <c r="A381" s="24">
        <v>13</v>
      </c>
      <c r="B381" s="29" t="s">
        <v>185</v>
      </c>
      <c r="C381" s="30"/>
      <c r="D381" s="30">
        <v>50</v>
      </c>
      <c r="E381" s="31">
        <f t="shared" si="5"/>
        <v>0.5</v>
      </c>
    </row>
    <row r="382" spans="1:5" x14ac:dyDescent="0.3">
      <c r="A382" s="24">
        <v>14</v>
      </c>
      <c r="B382" s="29" t="s">
        <v>126</v>
      </c>
      <c r="C382" s="30"/>
      <c r="D382" s="30">
        <v>100</v>
      </c>
      <c r="E382" s="31">
        <f t="shared" si="5"/>
        <v>1</v>
      </c>
    </row>
    <row r="383" spans="1:5" x14ac:dyDescent="0.3">
      <c r="A383" s="24">
        <v>15</v>
      </c>
      <c r="B383" s="29" t="s">
        <v>3</v>
      </c>
      <c r="C383" s="30"/>
      <c r="D383" s="30">
        <v>10</v>
      </c>
      <c r="E383" s="31">
        <f t="shared" si="5"/>
        <v>0.1</v>
      </c>
    </row>
    <row r="384" spans="1:5" x14ac:dyDescent="0.3">
      <c r="A384" s="24">
        <v>16</v>
      </c>
      <c r="B384" s="29" t="s">
        <v>132</v>
      </c>
      <c r="C384" s="30"/>
      <c r="D384" s="30">
        <v>5</v>
      </c>
      <c r="E384" s="31">
        <f t="shared" si="5"/>
        <v>0.05</v>
      </c>
    </row>
    <row r="385" spans="1:5" x14ac:dyDescent="0.3">
      <c r="B385" s="29"/>
      <c r="C385" s="30"/>
      <c r="D385" s="30"/>
      <c r="E385" s="32"/>
    </row>
    <row r="386" spans="1:5" x14ac:dyDescent="0.3">
      <c r="E386" s="34"/>
    </row>
    <row r="387" spans="1:5" ht="37.5" x14ac:dyDescent="0.3">
      <c r="B387" s="4" t="s">
        <v>237</v>
      </c>
      <c r="D387" s="26" t="s">
        <v>5</v>
      </c>
      <c r="E387" s="26" t="s">
        <v>6</v>
      </c>
    </row>
    <row r="388" spans="1:5" x14ac:dyDescent="0.3">
      <c r="E388" s="36"/>
    </row>
    <row r="389" spans="1:5" x14ac:dyDescent="0.3">
      <c r="A389" s="24">
        <v>1</v>
      </c>
      <c r="B389" s="29" t="s">
        <v>187</v>
      </c>
      <c r="C389" s="30"/>
      <c r="D389" s="30">
        <v>250</v>
      </c>
      <c r="E389" s="37">
        <f t="shared" si="5"/>
        <v>2.5</v>
      </c>
    </row>
    <row r="390" spans="1:5" x14ac:dyDescent="0.3">
      <c r="A390" s="24">
        <v>2</v>
      </c>
      <c r="B390" s="29" t="s">
        <v>195</v>
      </c>
      <c r="C390" s="30"/>
      <c r="D390" s="30">
        <v>5</v>
      </c>
      <c r="E390" s="31">
        <f t="shared" si="5"/>
        <v>0.05</v>
      </c>
    </row>
    <row r="391" spans="1:5" x14ac:dyDescent="0.3">
      <c r="A391" s="24">
        <v>3</v>
      </c>
      <c r="B391" s="29" t="s">
        <v>112</v>
      </c>
      <c r="C391" s="30"/>
      <c r="D391" s="30">
        <v>10</v>
      </c>
      <c r="E391" s="31">
        <f t="shared" si="5"/>
        <v>0.1</v>
      </c>
    </row>
    <row r="392" spans="1:5" x14ac:dyDescent="0.3">
      <c r="A392" s="24">
        <v>4</v>
      </c>
      <c r="B392" s="29" t="s">
        <v>3</v>
      </c>
      <c r="C392" s="30"/>
      <c r="D392" s="30">
        <v>10</v>
      </c>
      <c r="E392" s="31">
        <f t="shared" ref="E392:E453" si="6">(D392*10)/1000</f>
        <v>0.1</v>
      </c>
    </row>
    <row r="393" spans="1:5" x14ac:dyDescent="0.3">
      <c r="A393" s="24">
        <v>5</v>
      </c>
      <c r="B393" s="29" t="s">
        <v>63</v>
      </c>
      <c r="C393" s="30"/>
      <c r="D393" s="30">
        <v>75</v>
      </c>
      <c r="E393" s="31">
        <f t="shared" si="6"/>
        <v>0.75</v>
      </c>
    </row>
    <row r="394" spans="1:5" x14ac:dyDescent="0.3">
      <c r="A394" s="24">
        <v>6</v>
      </c>
      <c r="B394" s="29" t="s">
        <v>238</v>
      </c>
      <c r="C394" s="30"/>
      <c r="D394" s="30" t="s">
        <v>261</v>
      </c>
      <c r="E394" s="31" t="s">
        <v>275</v>
      </c>
    </row>
    <row r="395" spans="1:5" x14ac:dyDescent="0.3">
      <c r="A395" s="24">
        <v>7</v>
      </c>
      <c r="B395" s="29" t="s">
        <v>10</v>
      </c>
      <c r="C395" s="30"/>
      <c r="D395" s="30">
        <v>75</v>
      </c>
      <c r="E395" s="31">
        <f t="shared" si="6"/>
        <v>0.75</v>
      </c>
    </row>
    <row r="396" spans="1:5" x14ac:dyDescent="0.3">
      <c r="A396" s="24">
        <v>8</v>
      </c>
      <c r="B396" s="29" t="s">
        <v>11</v>
      </c>
      <c r="C396" s="30"/>
      <c r="D396" s="30">
        <v>300</v>
      </c>
      <c r="E396" s="31">
        <f t="shared" si="6"/>
        <v>3</v>
      </c>
    </row>
    <row r="397" spans="1:5" x14ac:dyDescent="0.3">
      <c r="A397" s="24">
        <v>9</v>
      </c>
      <c r="B397" s="29" t="s">
        <v>143</v>
      </c>
      <c r="C397" s="30"/>
      <c r="D397" s="30" t="s">
        <v>249</v>
      </c>
      <c r="E397" s="31" t="s">
        <v>268</v>
      </c>
    </row>
    <row r="398" spans="1:5" x14ac:dyDescent="0.3">
      <c r="A398" s="24">
        <v>10</v>
      </c>
      <c r="B398" s="29" t="s">
        <v>239</v>
      </c>
      <c r="C398" s="30"/>
      <c r="D398" s="30" t="s">
        <v>219</v>
      </c>
      <c r="E398" s="31" t="s">
        <v>274</v>
      </c>
    </row>
    <row r="399" spans="1:5" x14ac:dyDescent="0.3">
      <c r="A399" s="24">
        <v>11</v>
      </c>
      <c r="B399" s="29" t="s">
        <v>118</v>
      </c>
      <c r="C399" s="30"/>
      <c r="D399" s="30">
        <v>300</v>
      </c>
      <c r="E399" s="31">
        <f t="shared" si="6"/>
        <v>3</v>
      </c>
    </row>
    <row r="400" spans="1:5" x14ac:dyDescent="0.3">
      <c r="A400" s="24">
        <v>12</v>
      </c>
      <c r="B400" s="29" t="s">
        <v>140</v>
      </c>
      <c r="C400" s="30"/>
      <c r="D400" s="30">
        <v>10</v>
      </c>
      <c r="E400" s="31">
        <f t="shared" si="6"/>
        <v>0.1</v>
      </c>
    </row>
    <row r="401" spans="1:5" x14ac:dyDescent="0.3">
      <c r="A401" s="24">
        <v>13</v>
      </c>
      <c r="B401" s="29" t="s">
        <v>175</v>
      </c>
      <c r="C401" s="30"/>
      <c r="D401" s="30">
        <v>100</v>
      </c>
      <c r="E401" s="31">
        <f t="shared" si="6"/>
        <v>1</v>
      </c>
    </row>
    <row r="402" spans="1:5" x14ac:dyDescent="0.3">
      <c r="A402" s="24">
        <v>14</v>
      </c>
      <c r="B402" s="29" t="s">
        <v>66</v>
      </c>
      <c r="C402" s="30"/>
      <c r="D402" s="30">
        <v>15</v>
      </c>
      <c r="E402" s="31">
        <f t="shared" si="6"/>
        <v>0.15</v>
      </c>
    </row>
    <row r="403" spans="1:5" x14ac:dyDescent="0.3">
      <c r="A403" s="24">
        <v>4</v>
      </c>
      <c r="B403" s="29" t="s">
        <v>167</v>
      </c>
      <c r="C403" s="30"/>
      <c r="D403" s="30" t="s">
        <v>256</v>
      </c>
      <c r="E403" s="31" t="s">
        <v>273</v>
      </c>
    </row>
    <row r="404" spans="1:5" x14ac:dyDescent="0.3">
      <c r="B404" s="29"/>
      <c r="C404" s="30"/>
      <c r="D404" s="30"/>
      <c r="E404" s="32"/>
    </row>
    <row r="405" spans="1:5" x14ac:dyDescent="0.3">
      <c r="E405" s="34"/>
    </row>
    <row r="406" spans="1:5" ht="37.5" x14ac:dyDescent="0.3">
      <c r="B406" s="4" t="s">
        <v>240</v>
      </c>
      <c r="D406" s="26" t="s">
        <v>5</v>
      </c>
      <c r="E406" s="26" t="s">
        <v>6</v>
      </c>
    </row>
    <row r="407" spans="1:5" x14ac:dyDescent="0.3">
      <c r="E407" s="36"/>
    </row>
    <row r="408" spans="1:5" x14ac:dyDescent="0.3">
      <c r="A408" s="24">
        <v>1</v>
      </c>
      <c r="B408" s="29" t="s">
        <v>222</v>
      </c>
      <c r="C408" s="30"/>
      <c r="D408" s="30">
        <v>300</v>
      </c>
      <c r="E408" s="37">
        <f t="shared" si="6"/>
        <v>3</v>
      </c>
    </row>
    <row r="409" spans="1:5" x14ac:dyDescent="0.3">
      <c r="A409" s="24">
        <v>2</v>
      </c>
      <c r="B409" s="29" t="s">
        <v>164</v>
      </c>
      <c r="C409" s="30"/>
      <c r="D409" s="30">
        <v>15</v>
      </c>
      <c r="E409" s="31">
        <f t="shared" si="6"/>
        <v>0.15</v>
      </c>
    </row>
    <row r="410" spans="1:5" x14ac:dyDescent="0.3">
      <c r="A410" s="24">
        <v>3</v>
      </c>
      <c r="B410" s="29" t="s">
        <v>99</v>
      </c>
      <c r="C410" s="30"/>
      <c r="D410" s="30">
        <v>10</v>
      </c>
      <c r="E410" s="31">
        <f t="shared" si="6"/>
        <v>0.1</v>
      </c>
    </row>
    <row r="411" spans="1:5" x14ac:dyDescent="0.3">
      <c r="A411" s="24">
        <v>4</v>
      </c>
      <c r="B411" s="29" t="s">
        <v>112</v>
      </c>
      <c r="C411" s="30"/>
      <c r="D411" s="30">
        <v>10</v>
      </c>
      <c r="E411" s="31">
        <f t="shared" si="6"/>
        <v>0.1</v>
      </c>
    </row>
    <row r="412" spans="1:5" x14ac:dyDescent="0.3">
      <c r="A412" s="24">
        <v>5</v>
      </c>
      <c r="B412" s="29" t="s">
        <v>177</v>
      </c>
      <c r="C412" s="30"/>
      <c r="D412" s="30" t="s">
        <v>256</v>
      </c>
      <c r="E412" s="31" t="s">
        <v>273</v>
      </c>
    </row>
    <row r="413" spans="1:5" x14ac:dyDescent="0.3">
      <c r="A413" s="24">
        <v>6</v>
      </c>
      <c r="B413" s="29" t="s">
        <v>46</v>
      </c>
      <c r="C413" s="30"/>
      <c r="D413" s="30">
        <v>250</v>
      </c>
      <c r="E413" s="31">
        <f t="shared" si="6"/>
        <v>2.5</v>
      </c>
    </row>
    <row r="414" spans="1:5" x14ac:dyDescent="0.3">
      <c r="A414" s="24">
        <v>7</v>
      </c>
      <c r="B414" s="29" t="s">
        <v>10</v>
      </c>
      <c r="C414" s="30"/>
      <c r="D414" s="30">
        <v>150</v>
      </c>
      <c r="E414" s="31">
        <f t="shared" si="6"/>
        <v>1.5</v>
      </c>
    </row>
    <row r="415" spans="1:5" x14ac:dyDescent="0.3">
      <c r="A415" s="24">
        <v>8</v>
      </c>
      <c r="B415" s="29" t="s">
        <v>66</v>
      </c>
      <c r="C415" s="30"/>
      <c r="D415" s="30">
        <v>15</v>
      </c>
      <c r="E415" s="31">
        <f t="shared" si="6"/>
        <v>0.15</v>
      </c>
    </row>
    <row r="416" spans="1:5" x14ac:dyDescent="0.3">
      <c r="A416" s="24">
        <v>9</v>
      </c>
      <c r="B416" s="29" t="s">
        <v>86</v>
      </c>
      <c r="C416" s="30"/>
      <c r="D416" s="30">
        <v>30</v>
      </c>
      <c r="E416" s="31">
        <f t="shared" si="6"/>
        <v>0.3</v>
      </c>
    </row>
    <row r="417" spans="1:5" x14ac:dyDescent="0.3">
      <c r="A417" s="24">
        <v>10</v>
      </c>
      <c r="B417" s="29" t="s">
        <v>185</v>
      </c>
      <c r="C417" s="30"/>
      <c r="D417" s="30">
        <v>50</v>
      </c>
      <c r="E417" s="31">
        <f t="shared" si="6"/>
        <v>0.5</v>
      </c>
    </row>
    <row r="418" spans="1:5" x14ac:dyDescent="0.3">
      <c r="A418" s="24">
        <v>11</v>
      </c>
      <c r="B418" s="29" t="s">
        <v>175</v>
      </c>
      <c r="C418" s="30"/>
      <c r="D418" s="30">
        <v>100</v>
      </c>
      <c r="E418" s="31">
        <f t="shared" si="6"/>
        <v>1</v>
      </c>
    </row>
    <row r="419" spans="1:5" x14ac:dyDescent="0.3">
      <c r="A419" s="24">
        <v>12</v>
      </c>
      <c r="B419" s="29" t="s">
        <v>120</v>
      </c>
      <c r="C419" s="30"/>
      <c r="D419" s="30">
        <v>5</v>
      </c>
      <c r="E419" s="31">
        <f t="shared" si="6"/>
        <v>0.05</v>
      </c>
    </row>
    <row r="420" spans="1:5" x14ac:dyDescent="0.3">
      <c r="A420" s="24">
        <v>13</v>
      </c>
      <c r="B420" s="29" t="s">
        <v>144</v>
      </c>
      <c r="C420" s="30"/>
      <c r="D420" s="30">
        <v>15</v>
      </c>
      <c r="E420" s="31">
        <f t="shared" si="6"/>
        <v>0.15</v>
      </c>
    </row>
    <row r="421" spans="1:5" x14ac:dyDescent="0.3">
      <c r="B421" s="29"/>
      <c r="C421" s="30"/>
      <c r="D421" s="30"/>
      <c r="E421" s="32"/>
    </row>
    <row r="422" spans="1:5" x14ac:dyDescent="0.3">
      <c r="E422" s="34"/>
    </row>
    <row r="423" spans="1:5" ht="37.5" x14ac:dyDescent="0.3">
      <c r="B423" s="4" t="s">
        <v>241</v>
      </c>
      <c r="D423" s="26" t="s">
        <v>5</v>
      </c>
      <c r="E423" s="26" t="s">
        <v>6</v>
      </c>
    </row>
    <row r="424" spans="1:5" x14ac:dyDescent="0.3">
      <c r="E424" s="36"/>
    </row>
    <row r="425" spans="1:5" x14ac:dyDescent="0.3">
      <c r="A425" s="24">
        <v>1</v>
      </c>
      <c r="B425" s="29" t="s">
        <v>187</v>
      </c>
      <c r="C425" s="30"/>
      <c r="D425" s="30">
        <v>250</v>
      </c>
      <c r="E425" s="37">
        <f t="shared" si="6"/>
        <v>2.5</v>
      </c>
    </row>
    <row r="426" spans="1:5" x14ac:dyDescent="0.3">
      <c r="A426" s="24">
        <v>2</v>
      </c>
      <c r="B426" s="29" t="s">
        <v>164</v>
      </c>
      <c r="C426" s="30"/>
      <c r="D426" s="30">
        <v>15</v>
      </c>
      <c r="E426" s="31">
        <f t="shared" si="6"/>
        <v>0.15</v>
      </c>
    </row>
    <row r="427" spans="1:5" x14ac:dyDescent="0.3">
      <c r="A427" s="24">
        <v>3</v>
      </c>
      <c r="B427" s="29" t="s">
        <v>99</v>
      </c>
      <c r="C427" s="30"/>
      <c r="D427" s="30">
        <v>10</v>
      </c>
      <c r="E427" s="31">
        <f t="shared" si="6"/>
        <v>0.1</v>
      </c>
    </row>
    <row r="428" spans="1:5" x14ac:dyDescent="0.3">
      <c r="A428" s="24">
        <v>4</v>
      </c>
      <c r="B428" s="29" t="s">
        <v>112</v>
      </c>
      <c r="C428" s="30"/>
      <c r="D428" s="30">
        <v>10</v>
      </c>
      <c r="E428" s="31">
        <f t="shared" si="6"/>
        <v>0.1</v>
      </c>
    </row>
    <row r="429" spans="1:5" x14ac:dyDescent="0.3">
      <c r="A429" s="24">
        <v>5</v>
      </c>
      <c r="B429" s="29" t="s">
        <v>177</v>
      </c>
      <c r="C429" s="30"/>
      <c r="D429" s="30" t="s">
        <v>256</v>
      </c>
      <c r="E429" s="31" t="s">
        <v>273</v>
      </c>
    </row>
    <row r="430" spans="1:5" x14ac:dyDescent="0.3">
      <c r="A430" s="24">
        <v>6</v>
      </c>
      <c r="B430" s="29" t="s">
        <v>46</v>
      </c>
      <c r="C430" s="30"/>
      <c r="D430" s="30">
        <v>250</v>
      </c>
      <c r="E430" s="31">
        <f t="shared" si="6"/>
        <v>2.5</v>
      </c>
    </row>
    <row r="431" spans="1:5" x14ac:dyDescent="0.3">
      <c r="A431" s="24">
        <v>7</v>
      </c>
      <c r="B431" s="29" t="s">
        <v>10</v>
      </c>
      <c r="C431" s="30"/>
      <c r="D431" s="30">
        <v>150</v>
      </c>
      <c r="E431" s="31">
        <f t="shared" si="6"/>
        <v>1.5</v>
      </c>
    </row>
    <row r="432" spans="1:5" x14ac:dyDescent="0.3">
      <c r="A432" s="24">
        <v>8</v>
      </c>
      <c r="B432" s="29" t="s">
        <v>66</v>
      </c>
      <c r="C432" s="30"/>
      <c r="D432" s="30">
        <v>15</v>
      </c>
      <c r="E432" s="31">
        <f t="shared" si="6"/>
        <v>0.15</v>
      </c>
    </row>
    <row r="433" spans="1:5" x14ac:dyDescent="0.3">
      <c r="A433" s="24">
        <v>9</v>
      </c>
      <c r="B433" s="29" t="s">
        <v>86</v>
      </c>
      <c r="C433" s="30"/>
      <c r="D433" s="30">
        <v>30</v>
      </c>
      <c r="E433" s="31">
        <f t="shared" si="6"/>
        <v>0.3</v>
      </c>
    </row>
    <row r="434" spans="1:5" x14ac:dyDescent="0.3">
      <c r="A434" s="24">
        <v>10</v>
      </c>
      <c r="B434" s="29" t="s">
        <v>185</v>
      </c>
      <c r="C434" s="30"/>
      <c r="D434" s="30">
        <v>50</v>
      </c>
      <c r="E434" s="31">
        <f t="shared" si="6"/>
        <v>0.5</v>
      </c>
    </row>
    <row r="435" spans="1:5" x14ac:dyDescent="0.3">
      <c r="A435" s="24">
        <v>11</v>
      </c>
      <c r="B435" s="29" t="s">
        <v>175</v>
      </c>
      <c r="C435" s="30"/>
      <c r="D435" s="30">
        <v>100</v>
      </c>
      <c r="E435" s="31">
        <f t="shared" si="6"/>
        <v>1</v>
      </c>
    </row>
    <row r="436" spans="1:5" x14ac:dyDescent="0.3">
      <c r="A436" s="24">
        <v>12</v>
      </c>
      <c r="B436" s="29" t="s">
        <v>120</v>
      </c>
      <c r="C436" s="30"/>
      <c r="D436" s="30">
        <v>5</v>
      </c>
      <c r="E436" s="31">
        <f t="shared" si="6"/>
        <v>0.05</v>
      </c>
    </row>
    <row r="437" spans="1:5" x14ac:dyDescent="0.3">
      <c r="A437" s="24">
        <v>13</v>
      </c>
      <c r="B437" s="29" t="s">
        <v>144</v>
      </c>
      <c r="C437" s="30"/>
      <c r="D437" s="30">
        <v>15</v>
      </c>
      <c r="E437" s="31">
        <f t="shared" si="6"/>
        <v>0.15</v>
      </c>
    </row>
    <row r="438" spans="1:5" x14ac:dyDescent="0.3">
      <c r="B438" s="29"/>
      <c r="C438" s="30"/>
      <c r="D438" s="30"/>
      <c r="E438" s="32">
        <f t="shared" si="6"/>
        <v>0</v>
      </c>
    </row>
    <row r="439" spans="1:5" x14ac:dyDescent="0.3">
      <c r="E439" s="34"/>
    </row>
    <row r="440" spans="1:5" ht="37.5" x14ac:dyDescent="0.3">
      <c r="B440" s="4" t="s">
        <v>242</v>
      </c>
      <c r="D440" s="26" t="s">
        <v>5</v>
      </c>
      <c r="E440" s="26" t="s">
        <v>6</v>
      </c>
    </row>
    <row r="441" spans="1:5" x14ac:dyDescent="0.3">
      <c r="E441" s="36"/>
    </row>
    <row r="442" spans="1:5" x14ac:dyDescent="0.3">
      <c r="A442" s="24">
        <v>1</v>
      </c>
      <c r="B442" s="29" t="s">
        <v>10</v>
      </c>
      <c r="C442" s="30"/>
      <c r="D442" s="30">
        <v>150</v>
      </c>
      <c r="E442" s="37">
        <f t="shared" si="6"/>
        <v>1.5</v>
      </c>
    </row>
    <row r="443" spans="1:5" x14ac:dyDescent="0.3">
      <c r="A443" s="24">
        <v>2</v>
      </c>
      <c r="B443" s="29" t="s">
        <v>243</v>
      </c>
      <c r="C443" s="30"/>
      <c r="D443" s="30">
        <v>20</v>
      </c>
      <c r="E443" s="31">
        <f t="shared" si="6"/>
        <v>0.2</v>
      </c>
    </row>
    <row r="444" spans="1:5" x14ac:dyDescent="0.3">
      <c r="A444" s="24">
        <v>3</v>
      </c>
      <c r="B444" s="29" t="s">
        <v>66</v>
      </c>
      <c r="C444" s="30"/>
      <c r="D444" s="30">
        <v>15</v>
      </c>
      <c r="E444" s="31">
        <f t="shared" si="6"/>
        <v>0.15</v>
      </c>
    </row>
    <row r="445" spans="1:5" x14ac:dyDescent="0.3">
      <c r="A445" s="24">
        <v>4</v>
      </c>
      <c r="B445" s="29" t="s">
        <v>175</v>
      </c>
      <c r="C445" s="30"/>
      <c r="D445" s="30">
        <v>100</v>
      </c>
      <c r="E445" s="31">
        <f t="shared" si="6"/>
        <v>1</v>
      </c>
    </row>
    <row r="446" spans="1:5" x14ac:dyDescent="0.3">
      <c r="A446" s="24">
        <v>5</v>
      </c>
      <c r="B446" s="29" t="s">
        <v>244</v>
      </c>
      <c r="C446" s="30"/>
      <c r="D446" s="30">
        <v>20</v>
      </c>
      <c r="E446" s="31">
        <f t="shared" si="6"/>
        <v>0.2</v>
      </c>
    </row>
    <row r="447" spans="1:5" x14ac:dyDescent="0.3">
      <c r="A447" s="24">
        <v>6</v>
      </c>
      <c r="B447" s="29" t="s">
        <v>195</v>
      </c>
      <c r="C447" s="30"/>
      <c r="D447" s="30">
        <v>10</v>
      </c>
      <c r="E447" s="31">
        <f t="shared" si="6"/>
        <v>0.1</v>
      </c>
    </row>
    <row r="448" spans="1:5" x14ac:dyDescent="0.3">
      <c r="A448" s="24">
        <v>7</v>
      </c>
      <c r="B448" s="29" t="s">
        <v>245</v>
      </c>
      <c r="C448" s="30"/>
      <c r="D448" s="30">
        <v>5</v>
      </c>
      <c r="E448" s="31">
        <f t="shared" si="6"/>
        <v>0.05</v>
      </c>
    </row>
    <row r="449" spans="1:5" x14ac:dyDescent="0.3">
      <c r="A449" s="24">
        <v>8</v>
      </c>
      <c r="B449" s="29" t="s">
        <v>11</v>
      </c>
      <c r="C449" s="30"/>
      <c r="D449" s="30">
        <v>200</v>
      </c>
      <c r="E449" s="31">
        <f t="shared" si="6"/>
        <v>2</v>
      </c>
    </row>
    <row r="450" spans="1:5" x14ac:dyDescent="0.3">
      <c r="A450" s="24">
        <v>9</v>
      </c>
      <c r="B450" s="29" t="s">
        <v>156</v>
      </c>
      <c r="C450" s="30"/>
      <c r="D450" s="30">
        <v>15</v>
      </c>
      <c r="E450" s="31">
        <f t="shared" si="6"/>
        <v>0.15</v>
      </c>
    </row>
    <row r="451" spans="1:5" x14ac:dyDescent="0.3">
      <c r="A451" s="24">
        <v>10</v>
      </c>
      <c r="B451" s="29" t="s">
        <v>41</v>
      </c>
      <c r="C451" s="30"/>
      <c r="D451" s="30">
        <v>20</v>
      </c>
      <c r="E451" s="31">
        <f t="shared" si="6"/>
        <v>0.2</v>
      </c>
    </row>
    <row r="452" spans="1:5" x14ac:dyDescent="0.3">
      <c r="A452" s="24">
        <v>11</v>
      </c>
      <c r="B452" s="29" t="s">
        <v>208</v>
      </c>
      <c r="C452" s="30"/>
      <c r="D452" s="30">
        <v>50</v>
      </c>
      <c r="E452" s="31">
        <f t="shared" si="6"/>
        <v>0.5</v>
      </c>
    </row>
    <row r="453" spans="1:5" x14ac:dyDescent="0.3">
      <c r="A453" s="24">
        <v>12</v>
      </c>
      <c r="B453" s="29" t="s">
        <v>46</v>
      </c>
      <c r="C453" s="30"/>
      <c r="D453" s="30">
        <v>250</v>
      </c>
      <c r="E453" s="31">
        <f t="shared" si="6"/>
        <v>2.5</v>
      </c>
    </row>
    <row r="454" spans="1:5" x14ac:dyDescent="0.3">
      <c r="A454" s="24">
        <v>13</v>
      </c>
      <c r="B454" s="29" t="s">
        <v>177</v>
      </c>
      <c r="C454" s="30"/>
      <c r="D454" s="30" t="s">
        <v>218</v>
      </c>
      <c r="E454" s="32" t="s">
        <v>272</v>
      </c>
    </row>
    <row r="455" spans="1:5" x14ac:dyDescent="0.3">
      <c r="E455" s="34"/>
    </row>
    <row r="456" spans="1:5" ht="37.5" x14ac:dyDescent="0.3">
      <c r="B456" s="4" t="s">
        <v>263</v>
      </c>
      <c r="D456" s="26" t="s">
        <v>5</v>
      </c>
      <c r="E456" s="26" t="s">
        <v>6</v>
      </c>
    </row>
    <row r="457" spans="1:5" x14ac:dyDescent="0.3">
      <c r="E457" s="36"/>
    </row>
    <row r="458" spans="1:5" x14ac:dyDescent="0.3">
      <c r="A458" s="24">
        <v>1</v>
      </c>
      <c r="B458" s="29" t="s">
        <v>246</v>
      </c>
      <c r="C458" s="30"/>
      <c r="D458" s="30">
        <v>300</v>
      </c>
      <c r="E458" s="37">
        <f t="shared" ref="E458:E465" si="7">(D458*10)/1000</f>
        <v>3</v>
      </c>
    </row>
    <row r="459" spans="1:5" x14ac:dyDescent="0.3">
      <c r="A459" s="24">
        <v>2</v>
      </c>
      <c r="B459" s="29" t="s">
        <v>175</v>
      </c>
      <c r="C459" s="30"/>
      <c r="D459" s="30">
        <v>100</v>
      </c>
      <c r="E459" s="31">
        <f t="shared" si="7"/>
        <v>1</v>
      </c>
    </row>
    <row r="460" spans="1:5" x14ac:dyDescent="0.3">
      <c r="A460" s="24">
        <v>3</v>
      </c>
      <c r="B460" s="29" t="s">
        <v>110</v>
      </c>
      <c r="C460" s="30"/>
      <c r="D460" s="30">
        <v>50</v>
      </c>
      <c r="E460" s="31">
        <f t="shared" si="7"/>
        <v>0.5</v>
      </c>
    </row>
    <row r="461" spans="1:5" x14ac:dyDescent="0.3">
      <c r="A461" s="24">
        <v>4</v>
      </c>
      <c r="B461" s="29" t="s">
        <v>46</v>
      </c>
      <c r="C461" s="30"/>
      <c r="D461" s="30">
        <v>250</v>
      </c>
      <c r="E461" s="31">
        <f t="shared" si="7"/>
        <v>2.5</v>
      </c>
    </row>
    <row r="462" spans="1:5" x14ac:dyDescent="0.3">
      <c r="A462" s="24">
        <v>5</v>
      </c>
      <c r="B462" s="29" t="s">
        <v>3</v>
      </c>
      <c r="C462" s="30"/>
      <c r="D462" s="30">
        <v>10</v>
      </c>
      <c r="E462" s="31">
        <f t="shared" si="7"/>
        <v>0.1</v>
      </c>
    </row>
    <row r="463" spans="1:5" x14ac:dyDescent="0.3">
      <c r="A463" s="24">
        <v>6</v>
      </c>
      <c r="B463" s="29" t="s">
        <v>185</v>
      </c>
      <c r="C463" s="30"/>
      <c r="D463" s="30">
        <v>50</v>
      </c>
      <c r="E463" s="31">
        <f t="shared" si="7"/>
        <v>0.5</v>
      </c>
    </row>
    <row r="464" spans="1:5" x14ac:dyDescent="0.3">
      <c r="A464" s="24">
        <v>7</v>
      </c>
      <c r="B464" s="29" t="s">
        <v>10</v>
      </c>
      <c r="C464" s="30"/>
      <c r="D464" s="30">
        <v>150</v>
      </c>
      <c r="E464" s="31">
        <f t="shared" si="7"/>
        <v>1.5</v>
      </c>
    </row>
    <row r="465" spans="1:5" x14ac:dyDescent="0.3">
      <c r="A465" s="24">
        <v>8</v>
      </c>
      <c r="B465" s="29" t="s">
        <v>112</v>
      </c>
      <c r="C465" s="30"/>
      <c r="D465" s="30">
        <v>10</v>
      </c>
      <c r="E465" s="31">
        <f t="shared" si="7"/>
        <v>0.1</v>
      </c>
    </row>
  </sheetData>
  <printOptions horizontalCentered="1" verticalCentered="1"/>
  <pageMargins left="0" right="0" top="0" bottom="0" header="0" footer="0"/>
  <pageSetup scale="65" orientation="portrait" r:id="rId1"/>
  <rowBreaks count="9" manualBreakCount="9">
    <brk id="52" max="16383" man="1"/>
    <brk id="97" max="5" man="1"/>
    <brk id="149" max="5" man="1"/>
    <brk id="196" max="5" man="1"/>
    <brk id="238" max="5" man="1"/>
    <brk id="281" max="16383" man="1"/>
    <brk id="328" max="5" man="1"/>
    <brk id="366" max="5" man="1"/>
    <brk id="405" max="16383" man="1"/>
  </rowBreaks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LOCAL DISHES</vt:lpstr>
      <vt:lpstr>CONTINENTAL DISHES</vt:lpstr>
      <vt:lpstr>'CONTINENTAL DISHES'!Print_Area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2025-08-15T14:58:36Z</cp:lastPrinted>
  <dcterms:created xsi:type="dcterms:W3CDTF">2025-08-13T15:18:38Z</dcterms:created>
  <dcterms:modified xsi:type="dcterms:W3CDTF">2025-08-27T09:38:26Z</dcterms:modified>
</cp:coreProperties>
</file>